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"/>
    </mc:Choice>
  </mc:AlternateContent>
  <xr:revisionPtr revIDLastSave="0" documentId="8_{772400C2-17BB-457B-BBF0-56F57EDA268D}" xr6:coauthVersionLast="47" xr6:coauthVersionMax="47" xr10:uidLastSave="{00000000-0000-0000-0000-000000000000}"/>
  <bookViews>
    <workbookView xWindow="28680" yWindow="-120" windowWidth="29040" windowHeight="15720" xr2:uid="{A8759A7C-3DC4-4629-8C81-8A22E2606291}"/>
  </bookViews>
  <sheets>
    <sheet name="Hoja1" sheetId="1" r:id="rId1"/>
  </sheets>
  <externalReferences>
    <externalReference r:id="rId2"/>
  </externalReferences>
  <definedNames>
    <definedName name="eess">[1]EESS!$B$6:$B$23</definedName>
    <definedName name="pyg">[1]PyG!$C$5:$C$18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" i="1" l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<sst xmlns="http://schemas.openxmlformats.org/spreadsheetml/2006/main" count="221" uniqueCount="112">
  <si>
    <t>Cuenta Descripcion</t>
  </si>
  <si>
    <t>Reporte</t>
  </si>
  <si>
    <t>Detalle N1</t>
  </si>
  <si>
    <t>Detalle N2</t>
  </si>
  <si>
    <t>1.01.01.01 Caja</t>
  </si>
  <si>
    <t>efectivo</t>
  </si>
  <si>
    <t>Capital de Trabajo</t>
  </si>
  <si>
    <t>1.01.01.04 Banco Cta Cte Santander</t>
  </si>
  <si>
    <t>1.01.01.05 Banco Cta Cte Scotiabank</t>
  </si>
  <si>
    <t>1.01.01.06 Caja Chica</t>
  </si>
  <si>
    <t>1.01.01.07 Cargos por Aclarar</t>
  </si>
  <si>
    <t>1.01.01.09 Traspaso de Fondos</t>
  </si>
  <si>
    <t>1.01.01.10 Fondos por Rendir</t>
  </si>
  <si>
    <t>cuentas por cobrar</t>
  </si>
  <si>
    <t>1.01.05.01 Deudores por venta</t>
  </si>
  <si>
    <t>1.01.05.02 Cheques por Cobrar</t>
  </si>
  <si>
    <t>1.01.05.03 Facturas por Emitir</t>
  </si>
  <si>
    <t>1.01.06.01 Anticipo de Empleados</t>
  </si>
  <si>
    <t>1.01.06.02 Prestamos Empleados</t>
  </si>
  <si>
    <t>1.01.08.02 Cuenta Corriente Renacer SPA</t>
  </si>
  <si>
    <t>1.01.09.40 Productos en proceso</t>
  </si>
  <si>
    <t>1.01.10.01 IVA Credito Fiscal</t>
  </si>
  <si>
    <t>impuestos por recuperar</t>
  </si>
  <si>
    <t>1.01.10.02 PPM</t>
  </si>
  <si>
    <t>1.01.10.03 Otros Impuestos por Recuperar</t>
  </si>
  <si>
    <t>1.01.11.01 Anticipo Proveedores</t>
  </si>
  <si>
    <t>1.01.11.02 Garantia Arriendo</t>
  </si>
  <si>
    <t>1.01.11.03 Anticipo Honorarios</t>
  </si>
  <si>
    <t>1.01.13.02 Costos proyectos no facturados</t>
  </si>
  <si>
    <t>1.02.03.01 Maquinarias y equipos</t>
  </si>
  <si>
    <t>Maquinaria y equipos</t>
  </si>
  <si>
    <t>1.02.04.02 Equipos Computacionales</t>
  </si>
  <si>
    <t>1.02.06.01 Depreciación Acumulada</t>
  </si>
  <si>
    <t>2.01.07.01 Proveedores Nacionales</t>
  </si>
  <si>
    <t>cuentas por pagar</t>
  </si>
  <si>
    <t>2.01.07.03 Honorarios por Pagar</t>
  </si>
  <si>
    <t>2.01.07.04 Cheques por Pagar</t>
  </si>
  <si>
    <t>2.01.07.05 Facturas por Recibir</t>
  </si>
  <si>
    <t>2.01.08.01 Sueldos por Pagar</t>
  </si>
  <si>
    <t>2.01.08.02 Descuentos a Trabajadores</t>
  </si>
  <si>
    <t>2.01.08.32 Finiquitos por Pagar</t>
  </si>
  <si>
    <t>2.01.09.01 Acreedores varios</t>
  </si>
  <si>
    <t xml:space="preserve">2.01.09.02 Prestamo Tercero </t>
  </si>
  <si>
    <t xml:space="preserve">2.01.11.01 Provision de viaticos </t>
  </si>
  <si>
    <t>provisiones</t>
  </si>
  <si>
    <t>2.01.12.01 Imposiciones por Pagar</t>
  </si>
  <si>
    <t>2.01.12.02 Impuesto Unico Trabajadores</t>
  </si>
  <si>
    <t>2.01.12.03 Impuesto de 2da Categoria</t>
  </si>
  <si>
    <t>2.01.12.04 IVA Debito Fiscal</t>
  </si>
  <si>
    <t>impuestos por pagar</t>
  </si>
  <si>
    <t>2.01.12.05 Impuestos por Pagar</t>
  </si>
  <si>
    <t>2.01.12.06 Iva Postergado</t>
  </si>
  <si>
    <t>2.01.12.07 Convenio TGR</t>
  </si>
  <si>
    <t>2.01.12.08 Intereses Diferidos TGR</t>
  </si>
  <si>
    <t>2.01.13.01 Impuesto a la renta</t>
  </si>
  <si>
    <t>2.01.14.01 Anticipo de Clientes</t>
  </si>
  <si>
    <t>2.03.01.01 Capital</t>
  </si>
  <si>
    <t>patrimonio inicial</t>
  </si>
  <si>
    <t>2.03.06.01 Utilidades acumuladas</t>
  </si>
  <si>
    <t>2.03.06.02 Utilidad del Ejercicio</t>
  </si>
  <si>
    <t>2.03.07.01 Pérdidas acumuladas</t>
  </si>
  <si>
    <t>2.03.07.02 Perdidas del Ejercicio</t>
  </si>
  <si>
    <t xml:space="preserve">2.03.08.01 Dividendos provisorios </t>
  </si>
  <si>
    <t>dividendos provisorios</t>
  </si>
  <si>
    <t>3.02.03.03 Otros ingresos</t>
  </si>
  <si>
    <t xml:space="preserve">Otros ingresos (egresos) </t>
  </si>
  <si>
    <t>3.01.01.01 Ventas Afectas</t>
  </si>
  <si>
    <t>Ingresos</t>
  </si>
  <si>
    <t>3.01.01.03 Ingresos Instalaciones Industriales</t>
  </si>
  <si>
    <t>3.01.01.05 Ingresos Servicios Mantenimiento Preventivos</t>
  </si>
  <si>
    <t>3.01.01.06 Ingresos Servicios Mantenimiento Correctivos</t>
  </si>
  <si>
    <t>3.01.01.07 Ingresos Arriendo Equipos</t>
  </si>
  <si>
    <t>3.02.03.02 Reajuste UM</t>
  </si>
  <si>
    <t>4.01.01.99 Gastos sin asignar</t>
  </si>
  <si>
    <t>costo de servicios</t>
  </si>
  <si>
    <t>4.01.02.02 Costos de Materiales</t>
  </si>
  <si>
    <t>4.01.02.03 Sueldos Operaciones</t>
  </si>
  <si>
    <t>4.01.02.04 Leyes Sociales Operaciones</t>
  </si>
  <si>
    <t>4.01.02.05 Otros Costos de Venta</t>
  </si>
  <si>
    <t>4.01.02.06 Costos Instalaciones Industriales</t>
  </si>
  <si>
    <t>4.01.02.07 Costos Servicios Mantenimiento Preventivos</t>
  </si>
  <si>
    <t>4.01.02.08 Costos Servicios Mantenimiento Correctivos</t>
  </si>
  <si>
    <t>4.01.02.11 Costos Arriendo Grua</t>
  </si>
  <si>
    <t>4.01.03.01 Honorarios Profesionales</t>
  </si>
  <si>
    <t>gastos operativos</t>
  </si>
  <si>
    <t>4.01.03.03 Gastos Legales</t>
  </si>
  <si>
    <t>4.01.03.04 Articulos de Oficina</t>
  </si>
  <si>
    <t>4.01.03.08 Seguros</t>
  </si>
  <si>
    <t>4.01.03.11 Arriendos</t>
  </si>
  <si>
    <t>4.01.03.12 Suscripciones</t>
  </si>
  <si>
    <t>4.01.03.13 Gastos telefonicos  e Internet</t>
  </si>
  <si>
    <t>4.01.03.15 Patentes Comerciales</t>
  </si>
  <si>
    <t>4.01.03.19 Peajes</t>
  </si>
  <si>
    <t>4.01.03.22 Gastos Generales</t>
  </si>
  <si>
    <t xml:space="preserve">4.01.03.26 Asesoría Contable y Tributaria </t>
  </si>
  <si>
    <t>4.01.03.27 Luz Gas Agua y Aseo</t>
  </si>
  <si>
    <t>4.01.03.99 Gastos Operativos</t>
  </si>
  <si>
    <t>4.02.04.01 Sueldos</t>
  </si>
  <si>
    <t>4.02.04.02 Leyes Sociales</t>
  </si>
  <si>
    <t>4.02.04.60 Finiquitos</t>
  </si>
  <si>
    <t>4.02.07.01 Gastos Bancarios</t>
  </si>
  <si>
    <t>4.02.07.03 Intereses Factoring</t>
  </si>
  <si>
    <t>gastos en intereses</t>
  </si>
  <si>
    <t>4.02.07.06 Gastos Financieros Factoring</t>
  </si>
  <si>
    <t>4.02.07.07 Comisiones Factoring</t>
  </si>
  <si>
    <t>4.02.07.08 Intereses Fiscales</t>
  </si>
  <si>
    <t>4.02.10.03 Multas</t>
  </si>
  <si>
    <t>4.02.10.04 Otros Impuestos no recuperables</t>
  </si>
  <si>
    <t>4.02.11.02 Depreciacion del ejercicio</t>
  </si>
  <si>
    <t>Depreciacion y amortización</t>
  </si>
  <si>
    <t>4.03.01.01 Impuesto a La Renta</t>
  </si>
  <si>
    <t>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</si>
</sst>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Montserrat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233D3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3" xfId="0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/>
    </xf>
    <xf numFmtId="0" fontId="0" fillId="5" borderId="4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Unidades%20compartidas\AnalyticaCFO\__ASERVICIOS%20WILL\CARTERA%20CONTABLE%20EYF\AA_CLIENTES\CLIENTES%20ACTIVOS\ELOHIM%20SPA\INFORMES\2026\032026\CierreGestion_Elohim_03062026_v1.0.xlsx" TargetMode="External"/><Relationship Id="rId1" Type="http://schemas.openxmlformats.org/officeDocument/2006/relationships/externalLinkPath" Target="file:///H:\Unidades%20compartidas\AnalyticaCFO\__ASERVICIOS%20WILL\CARTERA%20CONTABLE%20EYF\AA_CLIENTES\CLIENTES%20ACTIVOS\ELOHIM%20SPA\INFORMES\2026\032026\CierreGestion_Elohim_03062026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os"/>
      <sheetName val="EESS"/>
      <sheetName val="ING"/>
      <sheetName val="PyG"/>
      <sheetName val="MB_cuenta"/>
      <sheetName val="Gastos_Operativos"/>
      <sheetName val="TD operaciones"/>
      <sheetName val="EBITDA_proyecto"/>
      <sheetName val="Proyectos Activos"/>
      <sheetName val="Ptto. de Operaciones"/>
      <sheetName val="PTO_EQ"/>
      <sheetName val="EFE"/>
      <sheetName val="PAT"/>
      <sheetName val="Lineas de N"/>
      <sheetName val="TD_Cuenta"/>
      <sheetName val="Clasificacion"/>
      <sheetName val="BCE MMM 12"/>
      <sheetName val="BCE"/>
      <sheetName val="Data_2026"/>
      <sheetName val="Data_2025"/>
    </sheetNames>
    <sheetDataSet>
      <sheetData sheetId="0"/>
      <sheetData sheetId="1">
        <row r="6">
          <cell r="B6" t="str">
            <v>efectivo</v>
          </cell>
        </row>
        <row r="7">
          <cell r="B7" t="str">
            <v>cuentas por cobrar</v>
          </cell>
        </row>
        <row r="8">
          <cell r="B8" t="str">
            <v>impuestos por recuperar</v>
          </cell>
        </row>
        <row r="9">
          <cell r="B9" t="str">
            <v>inventario</v>
          </cell>
        </row>
        <row r="10">
          <cell r="B10" t="str">
            <v>Maquinaria y equipos</v>
          </cell>
        </row>
        <row r="11">
          <cell r="B11" t="str">
            <v>otros activos</v>
          </cell>
        </row>
        <row r="12">
          <cell r="B12" t="str">
            <v>total activos</v>
          </cell>
        </row>
        <row r="13">
          <cell r="B13" t="str">
            <v>pasivos financieros</v>
          </cell>
        </row>
        <row r="14">
          <cell r="B14" t="str">
            <v>cuentas por pagar</v>
          </cell>
        </row>
        <row r="15">
          <cell r="B15" t="str">
            <v>impuestos por pagar</v>
          </cell>
        </row>
        <row r="16">
          <cell r="B16" t="str">
            <v>provisiones</v>
          </cell>
        </row>
        <row r="17">
          <cell r="B17" t="str">
            <v>otros pasivos</v>
          </cell>
        </row>
        <row r="18">
          <cell r="B18" t="str">
            <v>total pasivos</v>
          </cell>
        </row>
        <row r="19">
          <cell r="B19" t="str">
            <v>patrimonio inicial</v>
          </cell>
        </row>
        <row r="20">
          <cell r="B20" t="str">
            <v>dividendos provisorios</v>
          </cell>
        </row>
        <row r="21">
          <cell r="B21" t="str">
            <v>Utilidad o (Pérdida) del periodo</v>
          </cell>
        </row>
        <row r="22">
          <cell r="B22" t="str">
            <v>total patrimonio</v>
          </cell>
        </row>
        <row r="23">
          <cell r="B23" t="str">
            <v>pasivos + patrimonio</v>
          </cell>
        </row>
      </sheetData>
      <sheetData sheetId="2"/>
      <sheetData sheetId="3">
        <row r="5">
          <cell r="C5" t="str">
            <v>Ingresos</v>
          </cell>
        </row>
        <row r="6">
          <cell r="C6" t="str">
            <v>costo de servicios</v>
          </cell>
        </row>
        <row r="7">
          <cell r="C7" t="str">
            <v>INGRESO BRUTO</v>
          </cell>
        </row>
        <row r="8">
          <cell r="C8" t="str">
            <v>Gastos operativos</v>
          </cell>
        </row>
        <row r="9">
          <cell r="C9" t="str">
            <v>EBITDA</v>
          </cell>
        </row>
        <row r="10">
          <cell r="C10" t="str">
            <v>Depreciacion y amortización</v>
          </cell>
        </row>
        <row r="11">
          <cell r="C11" t="str">
            <v>EBIT</v>
          </cell>
        </row>
        <row r="12">
          <cell r="C12" t="str">
            <v>Gastos en intereses</v>
          </cell>
        </row>
        <row r="13">
          <cell r="C13" t="str">
            <v>EBT (RESULTADO OPERACIONAL)</v>
          </cell>
        </row>
        <row r="14">
          <cell r="C14" t="str">
            <v xml:space="preserve">Otros ingresos (egresos) </v>
          </cell>
        </row>
        <row r="15">
          <cell r="C15" t="str">
            <v>Utilidad (pérdida) inversión EERR</v>
          </cell>
        </row>
        <row r="16">
          <cell r="C16" t="str">
            <v>RESULTADO OPERACIONAL ANTES DE IMPUESTOS</v>
          </cell>
        </row>
        <row r="17">
          <cell r="C17" t="str">
            <v>Impuestos</v>
          </cell>
        </row>
        <row r="18">
          <cell r="C18" t="str">
            <v>Utilidad Neta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604D-C743-44D4-9075-BC51B42AE8DD}">
  <dimension ref="A1:D92"/>
  <sheetViews>
    <sheetView tabSelected="1" workbookViewId="0">
      <selection activeCell="C7" sqref="C7"/>
    </sheetView>
  </sheetViews>
  <sheetFormatPr baseColWidth="10" defaultRowHeight="24.75" x14ac:dyDescent="0.6"/>
  <cols>
    <col min="1" max="1" width="42.07421875" bestFit="1" customWidth="1"/>
    <col min="3" max="3" width="22" bestFit="1" customWidth="1"/>
    <col min="4" max="4" width="14" bestFit="1" customWidth="1"/>
  </cols>
  <sheetData>
    <row r="1" spans="1:4" x14ac:dyDescent="0.6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6">
      <c r="A2" s="4" t="s">
        <v>4</v>
      </c>
      <c r="B2" s="5" t="str">
        <f t="shared" ref="B2:B65" si="0">+IF(OR(MID(A2,1,1)="1",MID(A2,1,1)="2"),"EESS","PYG")</f>
        <v>EESS</v>
      </c>
      <c r="C2" s="5" t="s">
        <v>5</v>
      </c>
      <c r="D2" s="5" t="s">
        <v>6</v>
      </c>
    </row>
    <row r="3" spans="1:4" x14ac:dyDescent="0.6">
      <c r="A3" s="4" t="s">
        <v>7</v>
      </c>
      <c r="B3" s="5" t="str">
        <f t="shared" si="0"/>
        <v>EESS</v>
      </c>
      <c r="C3" s="5" t="s">
        <v>5</v>
      </c>
      <c r="D3" s="5" t="s">
        <v>6</v>
      </c>
    </row>
    <row r="4" spans="1:4" x14ac:dyDescent="0.6">
      <c r="A4" s="4" t="s">
        <v>8</v>
      </c>
      <c r="B4" s="5" t="str">
        <f t="shared" si="0"/>
        <v>EESS</v>
      </c>
      <c r="C4" s="5" t="s">
        <v>5</v>
      </c>
      <c r="D4" s="5" t="s">
        <v>6</v>
      </c>
    </row>
    <row r="5" spans="1:4" x14ac:dyDescent="0.6">
      <c r="A5" s="4" t="s">
        <v>9</v>
      </c>
      <c r="B5" s="5" t="str">
        <f t="shared" si="0"/>
        <v>EESS</v>
      </c>
      <c r="C5" s="5" t="s">
        <v>5</v>
      </c>
      <c r="D5" s="5"/>
    </row>
    <row r="6" spans="1:4" x14ac:dyDescent="0.6">
      <c r="A6" s="4" t="s">
        <v>10</v>
      </c>
      <c r="B6" s="5" t="str">
        <f t="shared" si="0"/>
        <v>EESS</v>
      </c>
      <c r="C6" s="5" t="s">
        <v>5</v>
      </c>
      <c r="D6" s="5"/>
    </row>
    <row r="7" spans="1:4" x14ac:dyDescent="0.6">
      <c r="A7" s="4" t="s">
        <v>11</v>
      </c>
      <c r="B7" s="5" t="str">
        <f t="shared" si="0"/>
        <v>EESS</v>
      </c>
      <c r="C7" s="5" t="s">
        <v>5</v>
      </c>
      <c r="D7" s="5" t="s">
        <v>6</v>
      </c>
    </row>
    <row r="8" spans="1:4" x14ac:dyDescent="0.6">
      <c r="A8" s="4" t="s">
        <v>12</v>
      </c>
      <c r="B8" s="5" t="str">
        <f t="shared" si="0"/>
        <v>EESS</v>
      </c>
      <c r="C8" s="5" t="s">
        <v>13</v>
      </c>
      <c r="D8" s="5"/>
    </row>
    <row r="9" spans="1:4" x14ac:dyDescent="0.6">
      <c r="A9" s="4" t="s">
        <v>14</v>
      </c>
      <c r="B9" s="5" t="str">
        <f t="shared" si="0"/>
        <v>EESS</v>
      </c>
      <c r="C9" s="5" t="s">
        <v>13</v>
      </c>
      <c r="D9" s="5" t="s">
        <v>6</v>
      </c>
    </row>
    <row r="10" spans="1:4" x14ac:dyDescent="0.6">
      <c r="A10" s="4" t="s">
        <v>15</v>
      </c>
      <c r="B10" s="5" t="str">
        <f t="shared" si="0"/>
        <v>EESS</v>
      </c>
      <c r="C10" s="5" t="s">
        <v>13</v>
      </c>
      <c r="D10" s="5" t="s">
        <v>6</v>
      </c>
    </row>
    <row r="11" spans="1:4" x14ac:dyDescent="0.6">
      <c r="A11" s="4" t="s">
        <v>16</v>
      </c>
      <c r="B11" s="5" t="str">
        <f t="shared" si="0"/>
        <v>EESS</v>
      </c>
      <c r="C11" s="5" t="s">
        <v>13</v>
      </c>
      <c r="D11" s="5" t="s">
        <v>6</v>
      </c>
    </row>
    <row r="12" spans="1:4" x14ac:dyDescent="0.6">
      <c r="A12" s="4" t="s">
        <v>17</v>
      </c>
      <c r="B12" s="5" t="str">
        <f t="shared" si="0"/>
        <v>EESS</v>
      </c>
      <c r="C12" s="5" t="s">
        <v>13</v>
      </c>
      <c r="D12" s="5" t="s">
        <v>6</v>
      </c>
    </row>
    <row r="13" spans="1:4" x14ac:dyDescent="0.6">
      <c r="A13" s="6" t="s">
        <v>18</v>
      </c>
      <c r="B13" s="5" t="str">
        <f t="shared" si="0"/>
        <v>EESS</v>
      </c>
      <c r="C13" s="5" t="s">
        <v>13</v>
      </c>
      <c r="D13" s="5" t="s">
        <v>6</v>
      </c>
    </row>
    <row r="14" spans="1:4" x14ac:dyDescent="0.6">
      <c r="A14" s="6" t="s">
        <v>19</v>
      </c>
      <c r="B14" s="5" t="str">
        <f t="shared" si="0"/>
        <v>EESS</v>
      </c>
      <c r="C14" s="5" t="s">
        <v>13</v>
      </c>
      <c r="D14" s="5"/>
    </row>
    <row r="15" spans="1:4" x14ac:dyDescent="0.6">
      <c r="A15" s="4" t="s">
        <v>20</v>
      </c>
      <c r="B15" s="5" t="str">
        <f t="shared" si="0"/>
        <v>EESS</v>
      </c>
      <c r="C15" s="5" t="s">
        <v>13</v>
      </c>
      <c r="D15" s="5" t="s">
        <v>6</v>
      </c>
    </row>
    <row r="16" spans="1:4" x14ac:dyDescent="0.6">
      <c r="A16" s="4" t="s">
        <v>21</v>
      </c>
      <c r="B16" s="5" t="str">
        <f t="shared" si="0"/>
        <v>EESS</v>
      </c>
      <c r="C16" s="5" t="s">
        <v>22</v>
      </c>
      <c r="D16" s="5" t="s">
        <v>6</v>
      </c>
    </row>
    <row r="17" spans="1:4" x14ac:dyDescent="0.6">
      <c r="A17" s="4" t="s">
        <v>23</v>
      </c>
      <c r="B17" s="5" t="str">
        <f t="shared" si="0"/>
        <v>EESS</v>
      </c>
      <c r="C17" s="5" t="s">
        <v>22</v>
      </c>
      <c r="D17" s="5" t="s">
        <v>6</v>
      </c>
    </row>
    <row r="18" spans="1:4" x14ac:dyDescent="0.6">
      <c r="A18" s="4" t="s">
        <v>24</v>
      </c>
      <c r="B18" s="5" t="str">
        <f t="shared" si="0"/>
        <v>EESS</v>
      </c>
      <c r="C18" s="5" t="s">
        <v>22</v>
      </c>
      <c r="D18" s="5"/>
    </row>
    <row r="19" spans="1:4" x14ac:dyDescent="0.6">
      <c r="A19" s="4" t="s">
        <v>25</v>
      </c>
      <c r="B19" s="5" t="str">
        <f t="shared" si="0"/>
        <v>EESS</v>
      </c>
      <c r="C19" s="5" t="s">
        <v>13</v>
      </c>
      <c r="D19" s="5" t="s">
        <v>6</v>
      </c>
    </row>
    <row r="20" spans="1:4" x14ac:dyDescent="0.6">
      <c r="A20" s="4" t="s">
        <v>26</v>
      </c>
      <c r="B20" s="5" t="str">
        <f t="shared" si="0"/>
        <v>EESS</v>
      </c>
      <c r="C20" s="5" t="s">
        <v>13</v>
      </c>
      <c r="D20" s="5" t="s">
        <v>6</v>
      </c>
    </row>
    <row r="21" spans="1:4" x14ac:dyDescent="0.6">
      <c r="A21" s="4" t="s">
        <v>27</v>
      </c>
      <c r="B21" s="5" t="str">
        <f t="shared" si="0"/>
        <v>EESS</v>
      </c>
      <c r="C21" s="5" t="s">
        <v>13</v>
      </c>
      <c r="D21" s="5" t="s">
        <v>6</v>
      </c>
    </row>
    <row r="22" spans="1:4" x14ac:dyDescent="0.6">
      <c r="A22" s="4" t="s">
        <v>28</v>
      </c>
      <c r="B22" s="5" t="str">
        <f t="shared" si="0"/>
        <v>EESS</v>
      </c>
      <c r="C22" s="5" t="s">
        <v>13</v>
      </c>
      <c r="D22" s="5" t="s">
        <v>6</v>
      </c>
    </row>
    <row r="23" spans="1:4" x14ac:dyDescent="0.6">
      <c r="A23" s="4" t="s">
        <v>29</v>
      </c>
      <c r="B23" s="5" t="str">
        <f t="shared" si="0"/>
        <v>EESS</v>
      </c>
      <c r="C23" s="5" t="s">
        <v>30</v>
      </c>
      <c r="D23" s="5"/>
    </row>
    <row r="24" spans="1:4" x14ac:dyDescent="0.6">
      <c r="A24" s="4" t="s">
        <v>31</v>
      </c>
      <c r="B24" s="5" t="str">
        <f t="shared" si="0"/>
        <v>EESS</v>
      </c>
      <c r="C24" s="5" t="s">
        <v>30</v>
      </c>
      <c r="D24" s="5"/>
    </row>
    <row r="25" spans="1:4" x14ac:dyDescent="0.6">
      <c r="A25" s="4" t="s">
        <v>32</v>
      </c>
      <c r="B25" s="5" t="str">
        <f t="shared" si="0"/>
        <v>EESS</v>
      </c>
      <c r="C25" s="5" t="s">
        <v>30</v>
      </c>
      <c r="D25" s="5"/>
    </row>
    <row r="26" spans="1:4" x14ac:dyDescent="0.6">
      <c r="A26" s="4" t="s">
        <v>33</v>
      </c>
      <c r="B26" s="5" t="str">
        <f t="shared" si="0"/>
        <v>EESS</v>
      </c>
      <c r="C26" s="5" t="s">
        <v>34</v>
      </c>
      <c r="D26" s="5" t="s">
        <v>6</v>
      </c>
    </row>
    <row r="27" spans="1:4" x14ac:dyDescent="0.6">
      <c r="A27" s="4" t="s">
        <v>35</v>
      </c>
      <c r="B27" s="5" t="str">
        <f t="shared" si="0"/>
        <v>EESS</v>
      </c>
      <c r="C27" s="5" t="s">
        <v>34</v>
      </c>
      <c r="D27" s="5" t="s">
        <v>6</v>
      </c>
    </row>
    <row r="28" spans="1:4" x14ac:dyDescent="0.6">
      <c r="A28" s="4" t="s">
        <v>36</v>
      </c>
      <c r="B28" s="5" t="str">
        <f t="shared" si="0"/>
        <v>EESS</v>
      </c>
      <c r="C28" s="5" t="s">
        <v>34</v>
      </c>
      <c r="D28" s="5" t="s">
        <v>6</v>
      </c>
    </row>
    <row r="29" spans="1:4" x14ac:dyDescent="0.6">
      <c r="A29" s="7" t="s">
        <v>37</v>
      </c>
      <c r="B29" s="8" t="str">
        <f t="shared" si="0"/>
        <v>EESS</v>
      </c>
      <c r="C29" s="8" t="s">
        <v>34</v>
      </c>
      <c r="D29" s="5" t="s">
        <v>6</v>
      </c>
    </row>
    <row r="30" spans="1:4" x14ac:dyDescent="0.6">
      <c r="A30" s="7" t="s">
        <v>38</v>
      </c>
      <c r="B30" s="8" t="str">
        <f t="shared" si="0"/>
        <v>EESS</v>
      </c>
      <c r="C30" s="8" t="s">
        <v>34</v>
      </c>
      <c r="D30" s="5" t="s">
        <v>6</v>
      </c>
    </row>
    <row r="31" spans="1:4" x14ac:dyDescent="0.6">
      <c r="A31" s="7" t="s">
        <v>39</v>
      </c>
      <c r="B31" s="8" t="str">
        <f t="shared" si="0"/>
        <v>EESS</v>
      </c>
      <c r="C31" s="8" t="s">
        <v>34</v>
      </c>
      <c r="D31" s="5" t="s">
        <v>6</v>
      </c>
    </row>
    <row r="32" spans="1:4" x14ac:dyDescent="0.6">
      <c r="A32" s="7" t="s">
        <v>40</v>
      </c>
      <c r="B32" s="8" t="str">
        <f t="shared" si="0"/>
        <v>EESS</v>
      </c>
      <c r="C32" s="8" t="s">
        <v>34</v>
      </c>
      <c r="D32" s="5" t="s">
        <v>6</v>
      </c>
    </row>
    <row r="33" spans="1:4" x14ac:dyDescent="0.6">
      <c r="A33" s="7" t="s">
        <v>41</v>
      </c>
      <c r="B33" s="8" t="str">
        <f t="shared" si="0"/>
        <v>EESS</v>
      </c>
      <c r="C33" s="8" t="s">
        <v>34</v>
      </c>
      <c r="D33" s="5" t="s">
        <v>6</v>
      </c>
    </row>
    <row r="34" spans="1:4" x14ac:dyDescent="0.6">
      <c r="A34" s="7" t="s">
        <v>42</v>
      </c>
      <c r="B34" s="8" t="str">
        <f t="shared" si="0"/>
        <v>EESS</v>
      </c>
      <c r="C34" s="8" t="s">
        <v>34</v>
      </c>
      <c r="D34" s="5" t="s">
        <v>6</v>
      </c>
    </row>
    <row r="35" spans="1:4" x14ac:dyDescent="0.6">
      <c r="A35" s="7" t="s">
        <v>43</v>
      </c>
      <c r="B35" s="8" t="str">
        <f t="shared" si="0"/>
        <v>EESS</v>
      </c>
      <c r="C35" s="8" t="s">
        <v>44</v>
      </c>
      <c r="D35" s="5" t="s">
        <v>6</v>
      </c>
    </row>
    <row r="36" spans="1:4" x14ac:dyDescent="0.6">
      <c r="A36" s="7" t="s">
        <v>45</v>
      </c>
      <c r="B36" s="8" t="str">
        <f t="shared" si="0"/>
        <v>EESS</v>
      </c>
      <c r="C36" s="8" t="s">
        <v>34</v>
      </c>
      <c r="D36" s="5" t="s">
        <v>6</v>
      </c>
    </row>
    <row r="37" spans="1:4" x14ac:dyDescent="0.6">
      <c r="A37" s="7" t="s">
        <v>46</v>
      </c>
      <c r="B37" s="8" t="str">
        <f t="shared" si="0"/>
        <v>EESS</v>
      </c>
      <c r="C37" s="8" t="s">
        <v>34</v>
      </c>
      <c r="D37" s="5" t="s">
        <v>6</v>
      </c>
    </row>
    <row r="38" spans="1:4" x14ac:dyDescent="0.6">
      <c r="A38" s="7" t="s">
        <v>47</v>
      </c>
      <c r="B38" s="8" t="str">
        <f t="shared" si="0"/>
        <v>EESS</v>
      </c>
      <c r="C38" s="8" t="s">
        <v>34</v>
      </c>
      <c r="D38" s="5" t="s">
        <v>6</v>
      </c>
    </row>
    <row r="39" spans="1:4" x14ac:dyDescent="0.6">
      <c r="A39" s="7" t="s">
        <v>48</v>
      </c>
      <c r="B39" s="8" t="str">
        <f t="shared" si="0"/>
        <v>EESS</v>
      </c>
      <c r="C39" s="8" t="s">
        <v>49</v>
      </c>
      <c r="D39" s="5" t="s">
        <v>6</v>
      </c>
    </row>
    <row r="40" spans="1:4" x14ac:dyDescent="0.6">
      <c r="A40" s="7" t="s">
        <v>50</v>
      </c>
      <c r="B40" s="8" t="str">
        <f t="shared" si="0"/>
        <v>EESS</v>
      </c>
      <c r="C40" s="8" t="s">
        <v>49</v>
      </c>
      <c r="D40" s="5" t="s">
        <v>6</v>
      </c>
    </row>
    <row r="41" spans="1:4" x14ac:dyDescent="0.6">
      <c r="A41" s="7" t="s">
        <v>51</v>
      </c>
      <c r="B41" s="8" t="str">
        <f t="shared" si="0"/>
        <v>EESS</v>
      </c>
      <c r="C41" s="8" t="s">
        <v>34</v>
      </c>
      <c r="D41" s="5" t="s">
        <v>6</v>
      </c>
    </row>
    <row r="42" spans="1:4" x14ac:dyDescent="0.6">
      <c r="A42" s="7" t="s">
        <v>52</v>
      </c>
      <c r="B42" s="8" t="str">
        <f t="shared" si="0"/>
        <v>EESS</v>
      </c>
      <c r="C42" s="8" t="s">
        <v>34</v>
      </c>
      <c r="D42" s="5" t="s">
        <v>6</v>
      </c>
    </row>
    <row r="43" spans="1:4" x14ac:dyDescent="0.6">
      <c r="A43" s="7" t="s">
        <v>53</v>
      </c>
      <c r="B43" s="8" t="str">
        <f t="shared" si="0"/>
        <v>EESS</v>
      </c>
      <c r="C43" s="8" t="s">
        <v>34</v>
      </c>
      <c r="D43" s="5" t="s">
        <v>6</v>
      </c>
    </row>
    <row r="44" spans="1:4" x14ac:dyDescent="0.6">
      <c r="A44" s="7" t="s">
        <v>54</v>
      </c>
      <c r="B44" s="8" t="str">
        <f t="shared" si="0"/>
        <v>EESS</v>
      </c>
      <c r="C44" s="8" t="s">
        <v>34</v>
      </c>
      <c r="D44" s="5" t="s">
        <v>6</v>
      </c>
    </row>
    <row r="45" spans="1:4" x14ac:dyDescent="0.6">
      <c r="A45" s="7" t="s">
        <v>55</v>
      </c>
      <c r="B45" s="8" t="str">
        <f t="shared" si="0"/>
        <v>EESS</v>
      </c>
      <c r="C45" s="8" t="s">
        <v>34</v>
      </c>
      <c r="D45" s="8"/>
    </row>
    <row r="46" spans="1:4" x14ac:dyDescent="0.6">
      <c r="A46" s="7" t="s">
        <v>56</v>
      </c>
      <c r="B46" s="8" t="str">
        <f t="shared" si="0"/>
        <v>EESS</v>
      </c>
      <c r="C46" s="8" t="s">
        <v>57</v>
      </c>
      <c r="D46" s="8"/>
    </row>
    <row r="47" spans="1:4" x14ac:dyDescent="0.6">
      <c r="A47" s="7" t="s">
        <v>58</v>
      </c>
      <c r="B47" s="8" t="str">
        <f t="shared" si="0"/>
        <v>EESS</v>
      </c>
      <c r="C47" s="8" t="s">
        <v>57</v>
      </c>
      <c r="D47" s="8"/>
    </row>
    <row r="48" spans="1:4" x14ac:dyDescent="0.6">
      <c r="A48" s="7" t="s">
        <v>59</v>
      </c>
      <c r="B48" s="8" t="str">
        <f t="shared" si="0"/>
        <v>EESS</v>
      </c>
      <c r="C48" s="8" t="s">
        <v>57</v>
      </c>
      <c r="D48" s="8"/>
    </row>
    <row r="49" spans="1:4" x14ac:dyDescent="0.6">
      <c r="A49" s="9" t="s">
        <v>60</v>
      </c>
      <c r="B49" s="8" t="str">
        <f t="shared" si="0"/>
        <v>EESS</v>
      </c>
      <c r="C49" s="8" t="s">
        <v>57</v>
      </c>
      <c r="D49" s="8"/>
    </row>
    <row r="50" spans="1:4" x14ac:dyDescent="0.6">
      <c r="A50" s="9" t="s">
        <v>61</v>
      </c>
      <c r="B50" s="8" t="str">
        <f t="shared" si="0"/>
        <v>EESS</v>
      </c>
      <c r="C50" s="8" t="s">
        <v>57</v>
      </c>
      <c r="D50" s="8"/>
    </row>
    <row r="51" spans="1:4" x14ac:dyDescent="0.6">
      <c r="A51" s="7" t="s">
        <v>62</v>
      </c>
      <c r="B51" s="8" t="str">
        <f t="shared" si="0"/>
        <v>EESS</v>
      </c>
      <c r="C51" s="8" t="s">
        <v>63</v>
      </c>
      <c r="D51" s="8"/>
    </row>
    <row r="52" spans="1:4" x14ac:dyDescent="0.6">
      <c r="A52" s="7" t="s">
        <v>64</v>
      </c>
      <c r="B52" s="8" t="str">
        <f t="shared" si="0"/>
        <v>PYG</v>
      </c>
      <c r="C52" s="8" t="s">
        <v>65</v>
      </c>
      <c r="D52" s="8"/>
    </row>
    <row r="53" spans="1:4" x14ac:dyDescent="0.6">
      <c r="A53" s="7" t="s">
        <v>66</v>
      </c>
      <c r="B53" s="8" t="str">
        <f t="shared" si="0"/>
        <v>PYG</v>
      </c>
      <c r="C53" s="8" t="s">
        <v>67</v>
      </c>
      <c r="D53" s="8"/>
    </row>
    <row r="54" spans="1:4" x14ac:dyDescent="0.6">
      <c r="A54" s="7" t="s">
        <v>68</v>
      </c>
      <c r="B54" s="8" t="str">
        <f t="shared" si="0"/>
        <v>PYG</v>
      </c>
      <c r="C54" s="8" t="s">
        <v>67</v>
      </c>
      <c r="D54" s="8"/>
    </row>
    <row r="55" spans="1:4" x14ac:dyDescent="0.6">
      <c r="A55" s="7" t="s">
        <v>69</v>
      </c>
      <c r="B55" s="8" t="str">
        <f t="shared" si="0"/>
        <v>PYG</v>
      </c>
      <c r="C55" s="8" t="s">
        <v>67</v>
      </c>
      <c r="D55" s="8"/>
    </row>
    <row r="56" spans="1:4" x14ac:dyDescent="0.6">
      <c r="A56" s="7" t="s">
        <v>70</v>
      </c>
      <c r="B56" s="8" t="str">
        <f t="shared" si="0"/>
        <v>PYG</v>
      </c>
      <c r="C56" s="8" t="s">
        <v>67</v>
      </c>
      <c r="D56" s="8"/>
    </row>
    <row r="57" spans="1:4" x14ac:dyDescent="0.6">
      <c r="A57" s="7" t="s">
        <v>71</v>
      </c>
      <c r="B57" s="8" t="str">
        <f t="shared" si="0"/>
        <v>PYG</v>
      </c>
      <c r="C57" s="8" t="s">
        <v>67</v>
      </c>
      <c r="D57" s="8"/>
    </row>
    <row r="58" spans="1:4" x14ac:dyDescent="0.6">
      <c r="A58" s="9" t="s">
        <v>72</v>
      </c>
      <c r="B58" s="8" t="str">
        <f t="shared" si="0"/>
        <v>PYG</v>
      </c>
      <c r="C58" s="8" t="s">
        <v>65</v>
      </c>
      <c r="D58" s="8"/>
    </row>
    <row r="59" spans="1:4" x14ac:dyDescent="0.6">
      <c r="A59" s="9" t="s">
        <v>73</v>
      </c>
      <c r="B59" s="8" t="str">
        <f t="shared" si="0"/>
        <v>PYG</v>
      </c>
      <c r="C59" s="8" t="s">
        <v>74</v>
      </c>
      <c r="D59" s="8"/>
    </row>
    <row r="60" spans="1:4" x14ac:dyDescent="0.6">
      <c r="A60" s="9" t="s">
        <v>75</v>
      </c>
      <c r="B60" s="8" t="str">
        <f t="shared" si="0"/>
        <v>PYG</v>
      </c>
      <c r="C60" s="8" t="s">
        <v>74</v>
      </c>
      <c r="D60" s="8"/>
    </row>
    <row r="61" spans="1:4" x14ac:dyDescent="0.6">
      <c r="A61" s="9" t="s">
        <v>76</v>
      </c>
      <c r="B61" s="8" t="str">
        <f t="shared" si="0"/>
        <v>PYG</v>
      </c>
      <c r="C61" s="8" t="s">
        <v>74</v>
      </c>
      <c r="D61" s="8"/>
    </row>
    <row r="62" spans="1:4" x14ac:dyDescent="0.6">
      <c r="A62" s="9" t="s">
        <v>77</v>
      </c>
      <c r="B62" s="8" t="str">
        <f t="shared" si="0"/>
        <v>PYG</v>
      </c>
      <c r="C62" s="8" t="s">
        <v>74</v>
      </c>
      <c r="D62" s="8"/>
    </row>
    <row r="63" spans="1:4" x14ac:dyDescent="0.6">
      <c r="A63" s="7" t="s">
        <v>78</v>
      </c>
      <c r="B63" s="8" t="str">
        <f t="shared" si="0"/>
        <v>PYG</v>
      </c>
      <c r="C63" s="8" t="s">
        <v>74</v>
      </c>
      <c r="D63" s="8"/>
    </row>
    <row r="64" spans="1:4" x14ac:dyDescent="0.6">
      <c r="A64" s="7" t="s">
        <v>79</v>
      </c>
      <c r="B64" s="8" t="str">
        <f t="shared" si="0"/>
        <v>PYG</v>
      </c>
      <c r="C64" s="8" t="s">
        <v>74</v>
      </c>
      <c r="D64" s="8"/>
    </row>
    <row r="65" spans="1:4" x14ac:dyDescent="0.6">
      <c r="A65" s="7" t="s">
        <v>80</v>
      </c>
      <c r="B65" s="8" t="str">
        <f t="shared" si="0"/>
        <v>PYG</v>
      </c>
      <c r="C65" s="8" t="s">
        <v>74</v>
      </c>
      <c r="D65" s="8"/>
    </row>
    <row r="66" spans="1:4" x14ac:dyDescent="0.6">
      <c r="A66" s="7" t="s">
        <v>81</v>
      </c>
      <c r="B66" s="8" t="str">
        <f t="shared" ref="B66:B92" si="1">+IF(OR(MID(A66,1,1)="1",MID(A66,1,1)="2"),"EESS","PYG")</f>
        <v>PYG</v>
      </c>
      <c r="C66" s="8" t="s">
        <v>74</v>
      </c>
      <c r="D66" s="8"/>
    </row>
    <row r="67" spans="1:4" x14ac:dyDescent="0.6">
      <c r="A67" s="7" t="s">
        <v>82</v>
      </c>
      <c r="B67" s="8" t="str">
        <f t="shared" si="1"/>
        <v>PYG</v>
      </c>
      <c r="C67" s="8" t="s">
        <v>74</v>
      </c>
      <c r="D67" s="8"/>
    </row>
    <row r="68" spans="1:4" x14ac:dyDescent="0.6">
      <c r="A68" s="7" t="s">
        <v>83</v>
      </c>
      <c r="B68" s="8" t="str">
        <f t="shared" si="1"/>
        <v>PYG</v>
      </c>
      <c r="C68" s="8" t="s">
        <v>84</v>
      </c>
      <c r="D68" s="8"/>
    </row>
    <row r="69" spans="1:4" x14ac:dyDescent="0.6">
      <c r="A69" s="9" t="s">
        <v>85</v>
      </c>
      <c r="B69" s="8" t="str">
        <f t="shared" si="1"/>
        <v>PYG</v>
      </c>
      <c r="C69" s="8" t="s">
        <v>84</v>
      </c>
      <c r="D69" s="8"/>
    </row>
    <row r="70" spans="1:4" x14ac:dyDescent="0.6">
      <c r="A70" s="9" t="s">
        <v>86</v>
      </c>
      <c r="B70" s="8" t="str">
        <f t="shared" si="1"/>
        <v>PYG</v>
      </c>
      <c r="C70" s="8" t="s">
        <v>84</v>
      </c>
      <c r="D70" s="8"/>
    </row>
    <row r="71" spans="1:4" x14ac:dyDescent="0.6">
      <c r="A71" s="9" t="s">
        <v>87</v>
      </c>
      <c r="B71" s="8" t="str">
        <f t="shared" si="1"/>
        <v>PYG</v>
      </c>
      <c r="C71" s="8" t="s">
        <v>84</v>
      </c>
      <c r="D71" s="8"/>
    </row>
    <row r="72" spans="1:4" x14ac:dyDescent="0.6">
      <c r="A72" s="7" t="s">
        <v>88</v>
      </c>
      <c r="B72" s="8" t="str">
        <f t="shared" si="1"/>
        <v>PYG</v>
      </c>
      <c r="C72" s="8" t="s">
        <v>84</v>
      </c>
      <c r="D72" s="8"/>
    </row>
    <row r="73" spans="1:4" x14ac:dyDescent="0.6">
      <c r="A73" s="7" t="s">
        <v>89</v>
      </c>
      <c r="B73" s="8" t="str">
        <f t="shared" si="1"/>
        <v>PYG</v>
      </c>
      <c r="C73" s="8" t="s">
        <v>84</v>
      </c>
      <c r="D73" s="8"/>
    </row>
    <row r="74" spans="1:4" x14ac:dyDescent="0.6">
      <c r="A74" s="7" t="s">
        <v>90</v>
      </c>
      <c r="B74" s="8" t="str">
        <f t="shared" si="1"/>
        <v>PYG</v>
      </c>
      <c r="C74" s="8" t="s">
        <v>84</v>
      </c>
      <c r="D74" s="8"/>
    </row>
    <row r="75" spans="1:4" x14ac:dyDescent="0.6">
      <c r="A75" s="7" t="s">
        <v>91</v>
      </c>
      <c r="B75" s="8" t="str">
        <f t="shared" si="1"/>
        <v>PYG</v>
      </c>
      <c r="C75" s="8" t="s">
        <v>84</v>
      </c>
      <c r="D75" s="8"/>
    </row>
    <row r="76" spans="1:4" x14ac:dyDescent="0.6">
      <c r="A76" s="7" t="s">
        <v>92</v>
      </c>
      <c r="B76" s="8" t="str">
        <f t="shared" si="1"/>
        <v>PYG</v>
      </c>
      <c r="C76" s="8" t="s">
        <v>84</v>
      </c>
      <c r="D76" s="8"/>
    </row>
    <row r="77" spans="1:4" x14ac:dyDescent="0.6">
      <c r="A77" s="7" t="s">
        <v>93</v>
      </c>
      <c r="B77" s="8" t="str">
        <f t="shared" si="1"/>
        <v>PYG</v>
      </c>
      <c r="C77" s="8" t="s">
        <v>84</v>
      </c>
      <c r="D77" s="8"/>
    </row>
    <row r="78" spans="1:4" x14ac:dyDescent="0.6">
      <c r="A78" s="7" t="s">
        <v>94</v>
      </c>
      <c r="B78" s="8" t="str">
        <f t="shared" si="1"/>
        <v>PYG</v>
      </c>
      <c r="C78" s="8" t="s">
        <v>84</v>
      </c>
      <c r="D78" s="8"/>
    </row>
    <row r="79" spans="1:4" x14ac:dyDescent="0.6">
      <c r="A79" s="7" t="s">
        <v>95</v>
      </c>
      <c r="B79" s="8" t="str">
        <f t="shared" si="1"/>
        <v>PYG</v>
      </c>
      <c r="C79" s="8" t="s">
        <v>84</v>
      </c>
      <c r="D79" s="8"/>
    </row>
    <row r="80" spans="1:4" x14ac:dyDescent="0.6">
      <c r="A80" s="7" t="s">
        <v>96</v>
      </c>
      <c r="B80" s="8" t="str">
        <f t="shared" si="1"/>
        <v>PYG</v>
      </c>
      <c r="C80" s="8" t="s">
        <v>84</v>
      </c>
      <c r="D80" s="8"/>
    </row>
    <row r="81" spans="1:4" x14ac:dyDescent="0.6">
      <c r="A81" s="7" t="s">
        <v>97</v>
      </c>
      <c r="B81" s="8" t="str">
        <f t="shared" si="1"/>
        <v>PYG</v>
      </c>
      <c r="C81" s="8" t="s">
        <v>84</v>
      </c>
      <c r="D81" s="8"/>
    </row>
    <row r="82" spans="1:4" x14ac:dyDescent="0.6">
      <c r="A82" s="7" t="s">
        <v>98</v>
      </c>
      <c r="B82" s="8" t="str">
        <f t="shared" si="1"/>
        <v>PYG</v>
      </c>
      <c r="C82" s="8" t="s">
        <v>84</v>
      </c>
      <c r="D82" s="8"/>
    </row>
    <row r="83" spans="1:4" x14ac:dyDescent="0.6">
      <c r="A83" s="9" t="s">
        <v>99</v>
      </c>
      <c r="B83" s="8" t="str">
        <f t="shared" si="1"/>
        <v>PYG</v>
      </c>
      <c r="C83" s="10" t="s">
        <v>84</v>
      </c>
      <c r="D83" s="8"/>
    </row>
    <row r="84" spans="1:4" x14ac:dyDescent="0.6">
      <c r="A84" s="7" t="s">
        <v>100</v>
      </c>
      <c r="B84" s="8" t="str">
        <f t="shared" si="1"/>
        <v>PYG</v>
      </c>
      <c r="C84" s="8" t="s">
        <v>84</v>
      </c>
      <c r="D84" s="8"/>
    </row>
    <row r="85" spans="1:4" x14ac:dyDescent="0.6">
      <c r="A85" s="7" t="s">
        <v>101</v>
      </c>
      <c r="B85" s="8" t="str">
        <f t="shared" si="1"/>
        <v>PYG</v>
      </c>
      <c r="C85" s="8" t="s">
        <v>102</v>
      </c>
      <c r="D85" s="8"/>
    </row>
    <row r="86" spans="1:4" x14ac:dyDescent="0.6">
      <c r="A86" s="9" t="s">
        <v>103</v>
      </c>
      <c r="B86" s="8" t="str">
        <f t="shared" si="1"/>
        <v>PYG</v>
      </c>
      <c r="C86" s="8" t="s">
        <v>84</v>
      </c>
      <c r="D86" s="8"/>
    </row>
    <row r="87" spans="1:4" x14ac:dyDescent="0.6">
      <c r="A87" s="9" t="s">
        <v>104</v>
      </c>
      <c r="B87" s="8" t="str">
        <f t="shared" si="1"/>
        <v>PYG</v>
      </c>
      <c r="C87" s="8" t="s">
        <v>84</v>
      </c>
      <c r="D87" s="8"/>
    </row>
    <row r="88" spans="1:4" x14ac:dyDescent="0.6">
      <c r="A88" s="9" t="s">
        <v>105</v>
      </c>
      <c r="B88" s="8" t="str">
        <f t="shared" si="1"/>
        <v>PYG</v>
      </c>
      <c r="C88" s="11" t="s">
        <v>84</v>
      </c>
      <c r="D88" s="8"/>
    </row>
    <row r="89" spans="1:4" x14ac:dyDescent="0.6">
      <c r="A89" s="9" t="s">
        <v>106</v>
      </c>
      <c r="B89" s="8" t="str">
        <f>+IF(OR(MID(A89,1,1)="1",MID(A89,1,1)="2"),"EESS","PYG")</f>
        <v>PYG</v>
      </c>
      <c r="C89" s="8" t="s">
        <v>84</v>
      </c>
      <c r="D89" s="8"/>
    </row>
    <row r="90" spans="1:4" x14ac:dyDescent="0.6">
      <c r="A90" s="9" t="s">
        <v>107</v>
      </c>
      <c r="B90" s="8" t="str">
        <f>+IF(OR(MID(A90,1,1)="1",MID(A90,1,1)="2"),"EESS","PYG")</f>
        <v>PYG</v>
      </c>
      <c r="C90" s="8" t="s">
        <v>84</v>
      </c>
      <c r="D90" s="8"/>
    </row>
    <row r="91" spans="1:4" x14ac:dyDescent="0.6">
      <c r="A91" s="9" t="s">
        <v>108</v>
      </c>
      <c r="B91" s="8" t="str">
        <f>+IF(OR(MID(A91,1,1)="1",MID(A91,1,1)="2"),"EESS","PYG")</f>
        <v>PYG</v>
      </c>
      <c r="C91" s="8" t="s">
        <v>109</v>
      </c>
      <c r="D91" s="8"/>
    </row>
    <row r="92" spans="1:4" x14ac:dyDescent="0.6">
      <c r="A92" s="9" t="s">
        <v>110</v>
      </c>
      <c r="B92" s="8" t="str">
        <f>+IF(OR(MID(A92,1,1)="1",MID(A92,1,1)="2"),"EESS","PYG")</f>
        <v>PYG</v>
      </c>
      <c r="C92" s="8" t="s">
        <v>111</v>
      </c>
      <c r="D92" s="8"/>
    </row>
  </sheetData>
  <dataValidations count="2">
    <dataValidation type="list" allowBlank="1" showInputMessage="1" showErrorMessage="1" sqref="C59:C63 C19:C35" xr:uid="{BADD2382-3AFB-4FEC-8F0F-2A4E8BAAECC0}">
      <formula1>pyg</formula1>
    </dataValidation>
    <dataValidation type="list" allowBlank="1" showInputMessage="1" showErrorMessage="1" sqref="C64:C65 C82 C85 C2:C18 C72:C73 C75:C77 C89:C91 C36:C58" xr:uid="{4CEA191F-D8C5-4CF0-95D5-E15C2193A456}">
      <formula1>eess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Fernandez</dc:creator>
  <cp:lastModifiedBy>Williams Fernandez</cp:lastModifiedBy>
  <dcterms:created xsi:type="dcterms:W3CDTF">2026-04-09T06:31:38Z</dcterms:created>
  <dcterms:modified xsi:type="dcterms:W3CDTF">2026-04-09T06:32:11Z</dcterms:modified>
</cp:coreProperties>
</file>
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pivot" sheetId="2" r:id="rId2"/>
  </sheets>
  <definedNames>
    <definedName name="_xlnm._FilterDatabase" localSheetId="0" hidden="1">detalle!$A$6:$J$53</definedName>
    <definedName name="_xlnm._FilterDatabase" localSheetId="1" hidden="1">pivot!$A$6:$F$7</definedName>
  </definedNames>
  <calcPr calcId="124519" fullCalcOnLoad="1"/>
</workbook>
</file>

<file path=xl/sharedStrings.xml><?xml version="1.0" encoding="utf-8"?>
<sst xmlns="http://schemas.openxmlformats.org/spreadsheetml/2006/main" count="484" uniqueCount="91">
  <si>
    <t>01/01/2025</t>
  </si>
  <si>
    <t>07/01/2025</t>
  </si>
  <si>
    <t>02/07/2025</t>
  </si>
  <si>
    <t>10/07/2025</t>
  </si>
  <si>
    <t>09/08/2025</t>
  </si>
  <si>
    <t>06/09/2025</t>
  </si>
  <si>
    <t>07/09/2025</t>
  </si>
  <si>
    <t>04/10/2025</t>
  </si>
  <si>
    <t>08/11/2025</t>
  </si>
  <si>
    <t>03/12/2025</t>
  </si>
  <si>
    <t>09/12/2025</t>
  </si>
  <si>
    <t>e293</t>
  </si>
  <si>
    <t>e295</t>
  </si>
  <si>
    <t>e310</t>
  </si>
  <si>
    <t>e319</t>
  </si>
  <si>
    <t>e328</t>
  </si>
  <si>
    <t>e334</t>
  </si>
  <si>
    <t>e352</t>
  </si>
  <si>
    <t>e371</t>
  </si>
  <si>
    <t>i339</t>
  </si>
  <si>
    <t>t456</t>
  </si>
  <si>
    <t>t469</t>
  </si>
  <si>
    <t>t479</t>
  </si>
  <si>
    <t>t508</t>
  </si>
  <si>
    <t>t528</t>
  </si>
  <si>
    <t>t547</t>
  </si>
  <si>
    <t>t553</t>
  </si>
  <si>
    <t>t599</t>
  </si>
  <si>
    <t>t634</t>
  </si>
  <si>
    <t>t635</t>
  </si>
  <si>
    <t>t637</t>
  </si>
  <si>
    <t>t639</t>
  </si>
  <si>
    <t>t475</t>
  </si>
  <si>
    <t>i335</t>
  </si>
  <si>
    <t>e303</t>
  </si>
  <si>
    <t>e390</t>
  </si>
  <si>
    <t>e373</t>
  </si>
  <si>
    <t>e350</t>
  </si>
  <si>
    <t>e351</t>
  </si>
  <si>
    <t>e330</t>
  </si>
  <si>
    <t>e369</t>
  </si>
  <si>
    <t>i309</t>
  </si>
  <si>
    <t>e384</t>
  </si>
  <si>
    <t>1.01.01.04</t>
  </si>
  <si>
    <t>2.03.08.01</t>
  </si>
  <si>
    <t>2.01.09.01</t>
  </si>
  <si>
    <t>4.01.03.01</t>
  </si>
  <si>
    <t>2.01.07.03</t>
  </si>
  <si>
    <t>2.01.08.01</t>
  </si>
  <si>
    <t>1.01.01.10</t>
  </si>
  <si>
    <t>Banco de Chile</t>
  </si>
  <si>
    <t xml:space="preserve">Dividendos provisorios </t>
  </si>
  <si>
    <t>Acreedores varios</t>
  </si>
  <si>
    <t>Honorarios Profesionales</t>
  </si>
  <si>
    <t>Honorarios por Pagar</t>
  </si>
  <si>
    <t>Sueldos por Pagar</t>
  </si>
  <si>
    <t>Fondos por Rendir</t>
  </si>
  <si>
    <t>7.698.191-4</t>
  </si>
  <si>
    <t>RAQUEL ELIANA ARGANDOÑA DE LA FUENTE</t>
  </si>
  <si>
    <t>Boleta de Honorario #207</t>
  </si>
  <si>
    <t>Boleta de Honorario #209</t>
  </si>
  <si>
    <t>Boleta de Honorario #196</t>
  </si>
  <si>
    <t>Boleta de Honorario #203</t>
  </si>
  <si>
    <t>Boleta de Honorario #212</t>
  </si>
  <si>
    <t>30/10/2025</t>
  </si>
  <si>
    <t>29/11/2025</t>
  </si>
  <si>
    <t>31/07/2025</t>
  </si>
  <si>
    <t>30/09/2025</t>
  </si>
  <si>
    <t>23/12/2025</t>
  </si>
  <si>
    <t>Casa Matriz</t>
  </si>
  <si>
    <t>REPORTE INTELIGENTE CONTABLE</t>
  </si>
  <si>
    <t>EMPRESA: INVERSIONES ARGANDONA DE LA FUENTE SPA</t>
  </si>
  <si>
    <t>RUT: 76.984.644-1</t>
  </si>
  <si>
    <t>PERÍODO: 01/01/2025 HASTA 10/03/2026</t>
  </si>
  <si>
    <t>FECHA EMISIÓN: 10-03-2026</t>
  </si>
  <si>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</si>
  <si>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</si>
  <si>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</si>
  <si>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</si>
  <si>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</si>
  <si>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</si>
  <si>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</si>
  <si>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</si>
  <si>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</si>
  <si>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proyecto</t>
  </si>
  <si>
    <t>TOTAL GENERAL</t>
  </si>
  <si>
    <t>1.01.01.10 Fondos por Rendir</t>
  </si>
  <si>
    <t>2.01.07.03 Honorarios por Pagar</t>
  </si>
  <si>
    <t>2.01.08.01 Sueldos por Pagar</t>
  </si>
  <si>
    <t>2.01.09.01 Acreedores varios</t>
  </si>
  <si>
    <t>TOTAL_REGISTRO</t>
  </si>
</sst>
</file>

<file path=xl/styles.xml><?xml version="1.0" encoding="utf-8"?>
<styleSheet xmlns="http://schemas.openxmlformats.org/spreadsheetml/2006/main">
  <numFmts count="1">
    <numFmt numFmtId="164" formatCode="#,##0;[Red](#,##0)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0" width="18.7109375" customWidth="1"/>
  </cols>
  <sheetData>
    <row r="1" spans="1:10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72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74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3" t="s">
        <v>75</v>
      </c>
      <c r="B6" s="3" t="s">
        <v>76</v>
      </c>
      <c r="C6" s="3" t="s">
        <v>77</v>
      </c>
      <c r="D6" s="3" t="s">
        <v>78</v>
      </c>
      <c r="E6" s="3" t="s">
        <v>79</v>
      </c>
      <c r="F6" s="3" t="s">
        <v>80</v>
      </c>
      <c r="G6" s="3" t="s">
        <v>81</v>
      </c>
      <c r="H6" s="3" t="s">
        <v>82</v>
      </c>
      <c r="I6" s="3" t="s">
        <v>83</v>
      </c>
      <c r="J6" s="3" t="s">
        <v>84</v>
      </c>
    </row>
    <row r="7" spans="1:10">
      <c r="A7" s="4"/>
      <c r="B7" s="4" t="s">
        <v>11</v>
      </c>
      <c r="C7" s="4" t="s">
        <v>43</v>
      </c>
      <c r="D7" s="4" t="s">
        <v>50</v>
      </c>
      <c r="E7" s="4"/>
      <c r="F7" s="4"/>
      <c r="G7" s="4"/>
      <c r="H7" s="4"/>
      <c r="I7" s="5">
        <v>-17000000</v>
      </c>
      <c r="J7" s="4"/>
    </row>
    <row r="8" spans="1:10">
      <c r="A8" s="4"/>
      <c r="B8" s="4" t="s">
        <v>11</v>
      </c>
      <c r="C8" s="4" t="s">
        <v>43</v>
      </c>
      <c r="D8" s="4" t="s">
        <v>50</v>
      </c>
      <c r="E8" s="4"/>
      <c r="F8" s="4"/>
      <c r="G8" s="4"/>
      <c r="H8" s="4"/>
      <c r="I8" s="5">
        <v>-10000000</v>
      </c>
      <c r="J8" s="4"/>
    </row>
    <row r="9" spans="1:10">
      <c r="A9" s="4"/>
      <c r="B9" s="4" t="s">
        <v>11</v>
      </c>
      <c r="C9" s="4" t="s">
        <v>44</v>
      </c>
      <c r="D9" s="4" t="s">
        <v>51</v>
      </c>
      <c r="E9" s="4"/>
      <c r="F9" s="4"/>
      <c r="G9" s="4"/>
      <c r="H9" s="4"/>
      <c r="I9" s="5">
        <v>17000000</v>
      </c>
      <c r="J9" s="4"/>
    </row>
    <row r="10" spans="1:10">
      <c r="A10" s="4"/>
      <c r="B10" s="4" t="s">
        <v>12</v>
      </c>
      <c r="C10" s="4" t="s">
        <v>45</v>
      </c>
      <c r="D10" s="4" t="s">
        <v>52</v>
      </c>
      <c r="E10" s="4" t="s">
        <v>57</v>
      </c>
      <c r="F10" s="4" t="s">
        <v>58</v>
      </c>
      <c r="G10" s="4"/>
      <c r="H10" s="4"/>
      <c r="I10" s="5">
        <v>350000</v>
      </c>
      <c r="J10" s="4"/>
    </row>
    <row r="11" spans="1:10">
      <c r="A11" s="4"/>
      <c r="B11" s="4" t="s">
        <v>12</v>
      </c>
      <c r="C11" s="4" t="s">
        <v>45</v>
      </c>
      <c r="D11" s="4" t="s">
        <v>52</v>
      </c>
      <c r="E11" s="4" t="s">
        <v>57</v>
      </c>
      <c r="F11" s="4" t="s">
        <v>58</v>
      </c>
      <c r="G11" s="4"/>
      <c r="H11" s="4"/>
      <c r="I11" s="5">
        <v>250000</v>
      </c>
      <c r="J11" s="4"/>
    </row>
    <row r="12" spans="1:10">
      <c r="A12" s="4"/>
      <c r="B12" s="4" t="s">
        <v>12</v>
      </c>
      <c r="C12" s="4" t="s">
        <v>45</v>
      </c>
      <c r="D12" s="4" t="s">
        <v>52</v>
      </c>
      <c r="E12" s="4" t="s">
        <v>57</v>
      </c>
      <c r="F12" s="4" t="s">
        <v>58</v>
      </c>
      <c r="G12" s="4"/>
      <c r="H12" s="4"/>
      <c r="I12" s="5">
        <v>595000</v>
      </c>
      <c r="J12" s="4"/>
    </row>
    <row r="13" spans="1:10">
      <c r="A13" s="4"/>
      <c r="B13" s="4" t="s">
        <v>12</v>
      </c>
      <c r="C13" s="4" t="s">
        <v>45</v>
      </c>
      <c r="D13" s="4" t="s">
        <v>52</v>
      </c>
      <c r="E13" s="4" t="s">
        <v>57</v>
      </c>
      <c r="F13" s="4" t="s">
        <v>58</v>
      </c>
      <c r="G13" s="4"/>
      <c r="H13" s="4"/>
      <c r="I13" s="5">
        <v>80000</v>
      </c>
      <c r="J13" s="4"/>
    </row>
    <row r="14" spans="1:10">
      <c r="A14" s="4"/>
      <c r="B14" s="4" t="s">
        <v>12</v>
      </c>
      <c r="C14" s="4" t="s">
        <v>45</v>
      </c>
      <c r="D14" s="4" t="s">
        <v>52</v>
      </c>
      <c r="E14" s="4" t="s">
        <v>57</v>
      </c>
      <c r="F14" s="4" t="s">
        <v>58</v>
      </c>
      <c r="G14" s="4"/>
      <c r="H14" s="4"/>
      <c r="I14" s="5">
        <v>130000</v>
      </c>
      <c r="J14" s="4"/>
    </row>
    <row r="15" spans="1:10">
      <c r="A15" s="4"/>
      <c r="B15" s="4" t="s">
        <v>12</v>
      </c>
      <c r="C15" s="4" t="s">
        <v>45</v>
      </c>
      <c r="D15" s="4" t="s">
        <v>52</v>
      </c>
      <c r="E15" s="4" t="s">
        <v>57</v>
      </c>
      <c r="F15" s="4" t="s">
        <v>58</v>
      </c>
      <c r="G15" s="4"/>
      <c r="H15" s="4"/>
      <c r="I15" s="5">
        <v>28400</v>
      </c>
      <c r="J15" s="4"/>
    </row>
    <row r="16" spans="1:10">
      <c r="A16" s="4"/>
      <c r="B16" s="4" t="s">
        <v>13</v>
      </c>
      <c r="C16" s="4" t="s">
        <v>45</v>
      </c>
      <c r="D16" s="4" t="s">
        <v>52</v>
      </c>
      <c r="E16" s="4" t="s">
        <v>57</v>
      </c>
      <c r="F16" s="4" t="s">
        <v>58</v>
      </c>
      <c r="G16" s="4"/>
      <c r="H16" s="4"/>
      <c r="I16" s="5">
        <v>680000</v>
      </c>
      <c r="J16" s="4"/>
    </row>
    <row r="17" spans="1:10">
      <c r="A17" s="4"/>
      <c r="B17" s="4" t="s">
        <v>14</v>
      </c>
      <c r="C17" s="4" t="s">
        <v>43</v>
      </c>
      <c r="D17" s="4" t="s">
        <v>50</v>
      </c>
      <c r="E17" s="4"/>
      <c r="F17" s="4"/>
      <c r="G17" s="4"/>
      <c r="H17" s="4"/>
      <c r="I17" s="5">
        <v>-10000000</v>
      </c>
      <c r="J17" s="4"/>
    </row>
    <row r="18" spans="1:10">
      <c r="A18" s="4"/>
      <c r="B18" s="4" t="s">
        <v>15</v>
      </c>
      <c r="C18" s="4" t="s">
        <v>45</v>
      </c>
      <c r="D18" s="4" t="s">
        <v>52</v>
      </c>
      <c r="E18" s="4" t="s">
        <v>57</v>
      </c>
      <c r="F18" s="4" t="s">
        <v>58</v>
      </c>
      <c r="G18" s="4"/>
      <c r="H18" s="4"/>
      <c r="I18" s="5">
        <v>1769000</v>
      </c>
      <c r="J18" s="4"/>
    </row>
    <row r="19" spans="1:10">
      <c r="A19" s="4"/>
      <c r="B19" s="4" t="s">
        <v>16</v>
      </c>
      <c r="C19" s="4" t="s">
        <v>43</v>
      </c>
      <c r="D19" s="4" t="s">
        <v>50</v>
      </c>
      <c r="E19" s="4"/>
      <c r="F19" s="4"/>
      <c r="G19" s="4"/>
      <c r="H19" s="4"/>
      <c r="I19" s="5">
        <v>-1000000</v>
      </c>
      <c r="J19" s="4"/>
    </row>
    <row r="20" spans="1:10">
      <c r="A20" s="4"/>
      <c r="B20" s="4" t="s">
        <v>17</v>
      </c>
      <c r="C20" s="4" t="s">
        <v>45</v>
      </c>
      <c r="D20" s="4" t="s">
        <v>52</v>
      </c>
      <c r="E20" s="4" t="s">
        <v>57</v>
      </c>
      <c r="F20" s="4" t="s">
        <v>58</v>
      </c>
      <c r="G20" s="4"/>
      <c r="H20" s="4"/>
      <c r="I20" s="5">
        <v>4600000</v>
      </c>
      <c r="J20" s="4"/>
    </row>
    <row r="21" spans="1:10">
      <c r="A21" s="4"/>
      <c r="B21" s="4" t="s">
        <v>18</v>
      </c>
      <c r="C21" s="4" t="s">
        <v>45</v>
      </c>
      <c r="D21" s="4" t="s">
        <v>52</v>
      </c>
      <c r="E21" s="4" t="s">
        <v>57</v>
      </c>
      <c r="F21" s="4" t="s">
        <v>58</v>
      </c>
      <c r="G21" s="4"/>
      <c r="H21" s="4"/>
      <c r="I21" s="5">
        <v>850000</v>
      </c>
      <c r="J21" s="4"/>
    </row>
    <row r="22" spans="1:10">
      <c r="A22" s="4"/>
      <c r="B22" s="4" t="s">
        <v>19</v>
      </c>
      <c r="C22" s="4" t="s">
        <v>45</v>
      </c>
      <c r="D22" s="4" t="s">
        <v>52</v>
      </c>
      <c r="E22" s="4" t="s">
        <v>57</v>
      </c>
      <c r="F22" s="4" t="s">
        <v>58</v>
      </c>
      <c r="G22" s="4"/>
      <c r="H22" s="4"/>
      <c r="I22" s="5">
        <v>-100000</v>
      </c>
      <c r="J22" s="4"/>
    </row>
    <row r="23" spans="1:10">
      <c r="A23" s="4"/>
      <c r="B23" s="4" t="s">
        <v>20</v>
      </c>
      <c r="C23" s="4" t="s">
        <v>46</v>
      </c>
      <c r="D23" s="4" t="s">
        <v>53</v>
      </c>
      <c r="E23" s="4"/>
      <c r="F23" s="4"/>
      <c r="G23" s="4"/>
      <c r="H23" s="4"/>
      <c r="I23" s="5">
        <v>11695906</v>
      </c>
      <c r="J23" s="4" t="s">
        <v>69</v>
      </c>
    </row>
    <row r="24" spans="1:10">
      <c r="A24" s="4"/>
      <c r="B24" s="4" t="s">
        <v>21</v>
      </c>
      <c r="C24" s="4" t="s">
        <v>46</v>
      </c>
      <c r="D24" s="4" t="s">
        <v>53</v>
      </c>
      <c r="E24" s="4"/>
      <c r="F24" s="4"/>
      <c r="G24" s="4"/>
      <c r="H24" s="4"/>
      <c r="I24" s="5">
        <v>11695906</v>
      </c>
      <c r="J24" s="4" t="s">
        <v>69</v>
      </c>
    </row>
    <row r="25" spans="1:10">
      <c r="A25" s="4"/>
      <c r="B25" s="4" t="s">
        <v>22</v>
      </c>
      <c r="C25" s="4" t="s">
        <v>46</v>
      </c>
      <c r="D25" s="4" t="s">
        <v>53</v>
      </c>
      <c r="E25" s="4"/>
      <c r="F25" s="4"/>
      <c r="G25" s="4"/>
      <c r="H25" s="4"/>
      <c r="I25" s="5">
        <v>11695906</v>
      </c>
      <c r="J25" s="4" t="s">
        <v>69</v>
      </c>
    </row>
    <row r="26" spans="1:10">
      <c r="A26" s="4"/>
      <c r="B26" s="4" t="s">
        <v>23</v>
      </c>
      <c r="C26" s="4" t="s">
        <v>46</v>
      </c>
      <c r="D26" s="4" t="s">
        <v>53</v>
      </c>
      <c r="E26" s="4"/>
      <c r="F26" s="4"/>
      <c r="G26" s="4"/>
      <c r="H26" s="4"/>
      <c r="I26" s="5">
        <v>11695906</v>
      </c>
      <c r="J26" s="4" t="s">
        <v>69</v>
      </c>
    </row>
    <row r="27" spans="1:10">
      <c r="A27" s="4"/>
      <c r="B27" s="4" t="s">
        <v>24</v>
      </c>
      <c r="C27" s="4" t="s">
        <v>46</v>
      </c>
      <c r="D27" s="4" t="s">
        <v>53</v>
      </c>
      <c r="E27" s="4"/>
      <c r="F27" s="4"/>
      <c r="G27" s="4"/>
      <c r="H27" s="4"/>
      <c r="I27" s="5">
        <v>11695906</v>
      </c>
      <c r="J27" s="4" t="s">
        <v>69</v>
      </c>
    </row>
    <row r="28" spans="1:10">
      <c r="A28" s="4"/>
      <c r="B28" s="4" t="s">
        <v>25</v>
      </c>
      <c r="C28" s="4" t="s">
        <v>46</v>
      </c>
      <c r="D28" s="4" t="s">
        <v>53</v>
      </c>
      <c r="E28" s="4"/>
      <c r="F28" s="4"/>
      <c r="G28" s="4"/>
      <c r="H28" s="4"/>
      <c r="I28" s="5">
        <v>11695906</v>
      </c>
      <c r="J28" s="4" t="s">
        <v>69</v>
      </c>
    </row>
    <row r="29" spans="1:10">
      <c r="A29" s="4"/>
      <c r="B29" s="4" t="s">
        <v>26</v>
      </c>
      <c r="C29" s="4" t="s">
        <v>47</v>
      </c>
      <c r="D29" s="4" t="s">
        <v>54</v>
      </c>
      <c r="E29" s="4" t="s">
        <v>57</v>
      </c>
      <c r="F29" s="4" t="s">
        <v>58</v>
      </c>
      <c r="G29" s="4" t="s">
        <v>59</v>
      </c>
      <c r="H29" s="4" t="s">
        <v>64</v>
      </c>
      <c r="I29" s="5">
        <v>-10000000</v>
      </c>
      <c r="J29" s="4"/>
    </row>
    <row r="30" spans="1:10">
      <c r="A30" s="4"/>
      <c r="B30" s="4" t="s">
        <v>26</v>
      </c>
      <c r="C30" s="4" t="s">
        <v>46</v>
      </c>
      <c r="D30" s="4" t="s">
        <v>53</v>
      </c>
      <c r="E30" s="4"/>
      <c r="F30" s="4"/>
      <c r="G30" s="4"/>
      <c r="H30" s="4"/>
      <c r="I30" s="5">
        <v>11695906</v>
      </c>
      <c r="J30" s="4" t="s">
        <v>69</v>
      </c>
    </row>
    <row r="31" spans="1:10">
      <c r="A31" s="4"/>
      <c r="B31" s="4" t="s">
        <v>27</v>
      </c>
      <c r="C31" s="4" t="s">
        <v>47</v>
      </c>
      <c r="D31" s="4" t="s">
        <v>54</v>
      </c>
      <c r="E31" s="4" t="s">
        <v>57</v>
      </c>
      <c r="F31" s="4" t="s">
        <v>58</v>
      </c>
      <c r="G31" s="4" t="s">
        <v>60</v>
      </c>
      <c r="H31" s="4" t="s">
        <v>65</v>
      </c>
      <c r="I31" s="5">
        <v>-10000000</v>
      </c>
      <c r="J31" s="4"/>
    </row>
    <row r="32" spans="1:10">
      <c r="A32" s="4"/>
      <c r="B32" s="4" t="s">
        <v>27</v>
      </c>
      <c r="C32" s="4" t="s">
        <v>46</v>
      </c>
      <c r="D32" s="4" t="s">
        <v>53</v>
      </c>
      <c r="E32" s="4"/>
      <c r="F32" s="4"/>
      <c r="G32" s="4"/>
      <c r="H32" s="4"/>
      <c r="I32" s="5">
        <v>11695906</v>
      </c>
      <c r="J32" s="4" t="s">
        <v>69</v>
      </c>
    </row>
    <row r="33" spans="1:10">
      <c r="A33" s="4"/>
      <c r="B33" s="4" t="s">
        <v>28</v>
      </c>
      <c r="C33" s="4" t="s">
        <v>47</v>
      </c>
      <c r="D33" s="4" t="s">
        <v>54</v>
      </c>
      <c r="E33" s="4" t="s">
        <v>57</v>
      </c>
      <c r="F33" s="4" t="s">
        <v>58</v>
      </c>
      <c r="G33" s="4" t="s">
        <v>61</v>
      </c>
      <c r="H33" s="4" t="s">
        <v>66</v>
      </c>
      <c r="I33" s="5">
        <v>-10000000</v>
      </c>
      <c r="J33" s="4"/>
    </row>
    <row r="34" spans="1:10">
      <c r="A34" s="4"/>
      <c r="B34" s="4" t="s">
        <v>28</v>
      </c>
      <c r="C34" s="4" t="s">
        <v>46</v>
      </c>
      <c r="D34" s="4" t="s">
        <v>53</v>
      </c>
      <c r="E34" s="4"/>
      <c r="F34" s="4"/>
      <c r="G34" s="4"/>
      <c r="H34" s="4"/>
      <c r="I34" s="5">
        <v>11695906</v>
      </c>
      <c r="J34" s="4" t="s">
        <v>69</v>
      </c>
    </row>
    <row r="35" spans="1:10">
      <c r="A35" s="4"/>
      <c r="B35" s="4" t="s">
        <v>29</v>
      </c>
      <c r="C35" s="4" t="s">
        <v>46</v>
      </c>
      <c r="D35" s="4" t="s">
        <v>53</v>
      </c>
      <c r="E35" s="4"/>
      <c r="F35" s="4"/>
      <c r="G35" s="4"/>
      <c r="H35" s="4"/>
      <c r="I35" s="5">
        <v>11695906</v>
      </c>
      <c r="J35" s="4" t="s">
        <v>69</v>
      </c>
    </row>
    <row r="36" spans="1:10">
      <c r="A36" s="4"/>
      <c r="B36" s="4" t="s">
        <v>30</v>
      </c>
      <c r="C36" s="4" t="s">
        <v>47</v>
      </c>
      <c r="D36" s="4" t="s">
        <v>54</v>
      </c>
      <c r="E36" s="4" t="s">
        <v>57</v>
      </c>
      <c r="F36" s="4" t="s">
        <v>58</v>
      </c>
      <c r="G36" s="4" t="s">
        <v>62</v>
      </c>
      <c r="H36" s="4" t="s">
        <v>67</v>
      </c>
      <c r="I36" s="5">
        <v>-10000000</v>
      </c>
      <c r="J36" s="4"/>
    </row>
    <row r="37" spans="1:10">
      <c r="A37" s="4"/>
      <c r="B37" s="4" t="s">
        <v>30</v>
      </c>
      <c r="C37" s="4" t="s">
        <v>46</v>
      </c>
      <c r="D37" s="4" t="s">
        <v>53</v>
      </c>
      <c r="E37" s="4"/>
      <c r="F37" s="4"/>
      <c r="G37" s="4"/>
      <c r="H37" s="4"/>
      <c r="I37" s="5">
        <v>11695906</v>
      </c>
      <c r="J37" s="4" t="s">
        <v>69</v>
      </c>
    </row>
    <row r="38" spans="1:10">
      <c r="A38" s="4"/>
      <c r="B38" s="4" t="s">
        <v>31</v>
      </c>
      <c r="C38" s="4" t="s">
        <v>47</v>
      </c>
      <c r="D38" s="4" t="s">
        <v>54</v>
      </c>
      <c r="E38" s="4" t="s">
        <v>57</v>
      </c>
      <c r="F38" s="4" t="s">
        <v>58</v>
      </c>
      <c r="G38" s="4" t="s">
        <v>63</v>
      </c>
      <c r="H38" s="4" t="s">
        <v>68</v>
      </c>
      <c r="I38" s="5">
        <v>-10000000</v>
      </c>
      <c r="J38" s="4"/>
    </row>
    <row r="39" spans="1:10">
      <c r="A39" s="4"/>
      <c r="B39" s="4" t="s">
        <v>31</v>
      </c>
      <c r="C39" s="4" t="s">
        <v>46</v>
      </c>
      <c r="D39" s="4" t="s">
        <v>53</v>
      </c>
      <c r="E39" s="4"/>
      <c r="F39" s="4"/>
      <c r="G39" s="4"/>
      <c r="H39" s="4"/>
      <c r="I39" s="5">
        <v>11695906</v>
      </c>
      <c r="J39" s="4" t="s">
        <v>69</v>
      </c>
    </row>
    <row r="40" spans="1:10">
      <c r="A40" s="4" t="s">
        <v>0</v>
      </c>
      <c r="B40" s="4" t="s">
        <v>32</v>
      </c>
      <c r="C40" s="4" t="s">
        <v>48</v>
      </c>
      <c r="D40" s="4" t="s">
        <v>55</v>
      </c>
      <c r="E40" s="4" t="s">
        <v>57</v>
      </c>
      <c r="F40" s="4" t="s">
        <v>58</v>
      </c>
      <c r="G40" s="4"/>
      <c r="H40" s="4"/>
      <c r="I40" s="5">
        <v>2425598</v>
      </c>
      <c r="J40" s="4"/>
    </row>
    <row r="41" spans="1:10">
      <c r="A41" s="4" t="s">
        <v>0</v>
      </c>
      <c r="B41" s="4" t="s">
        <v>32</v>
      </c>
      <c r="C41" s="4" t="s">
        <v>45</v>
      </c>
      <c r="D41" s="4" t="s">
        <v>52</v>
      </c>
      <c r="E41" s="4" t="s">
        <v>57</v>
      </c>
      <c r="F41" s="4" t="s">
        <v>58</v>
      </c>
      <c r="G41" s="4"/>
      <c r="H41" s="4"/>
      <c r="I41" s="5">
        <v>-124535795</v>
      </c>
      <c r="J41" s="4"/>
    </row>
    <row r="42" spans="1:10">
      <c r="A42" s="4" t="s">
        <v>1</v>
      </c>
      <c r="B42" s="4" t="s">
        <v>33</v>
      </c>
      <c r="C42" s="4" t="s">
        <v>43</v>
      </c>
      <c r="D42" s="4" t="s">
        <v>50</v>
      </c>
      <c r="E42" s="4"/>
      <c r="F42" s="4"/>
      <c r="G42" s="4"/>
      <c r="H42" s="4"/>
      <c r="I42" s="5">
        <v>5000000</v>
      </c>
      <c r="J42" s="4"/>
    </row>
    <row r="43" spans="1:10">
      <c r="A43" s="4" t="s">
        <v>1</v>
      </c>
      <c r="B43" s="4" t="s">
        <v>33</v>
      </c>
      <c r="C43" s="4" t="s">
        <v>45</v>
      </c>
      <c r="D43" s="4" t="s">
        <v>52</v>
      </c>
      <c r="E43" s="4" t="s">
        <v>57</v>
      </c>
      <c r="F43" s="4" t="s">
        <v>58</v>
      </c>
      <c r="G43" s="4"/>
      <c r="H43" s="4"/>
      <c r="I43" s="5">
        <v>-5000000</v>
      </c>
      <c r="J43" s="4"/>
    </row>
    <row r="44" spans="1:10">
      <c r="A44" s="4" t="s">
        <v>2</v>
      </c>
      <c r="B44" s="4" t="s">
        <v>34</v>
      </c>
      <c r="C44" s="4" t="s">
        <v>43</v>
      </c>
      <c r="D44" s="4" t="s">
        <v>50</v>
      </c>
      <c r="E44" s="4"/>
      <c r="F44" s="4"/>
      <c r="G44" s="4"/>
      <c r="H44" s="4"/>
      <c r="I44" s="5">
        <v>-10000000</v>
      </c>
      <c r="J44" s="4"/>
    </row>
    <row r="45" spans="1:10">
      <c r="A45" s="4" t="s">
        <v>3</v>
      </c>
      <c r="B45" s="4" t="s">
        <v>35</v>
      </c>
      <c r="C45" s="4" t="s">
        <v>47</v>
      </c>
      <c r="D45" s="4" t="s">
        <v>54</v>
      </c>
      <c r="E45" s="4" t="s">
        <v>57</v>
      </c>
      <c r="F45" s="4" t="s">
        <v>58</v>
      </c>
      <c r="G45" s="4" t="s">
        <v>62</v>
      </c>
      <c r="H45" s="4" t="s">
        <v>67</v>
      </c>
      <c r="I45" s="5">
        <v>5000000</v>
      </c>
      <c r="J45" s="4"/>
    </row>
    <row r="46" spans="1:10">
      <c r="A46" s="4" t="s">
        <v>4</v>
      </c>
      <c r="B46" s="4" t="s">
        <v>36</v>
      </c>
      <c r="C46" s="4" t="s">
        <v>43</v>
      </c>
      <c r="D46" s="4" t="s">
        <v>50</v>
      </c>
      <c r="E46" s="4"/>
      <c r="F46" s="4"/>
      <c r="G46" s="4"/>
      <c r="H46" s="4"/>
      <c r="I46" s="5">
        <v>-10000000</v>
      </c>
      <c r="J46" s="4"/>
    </row>
    <row r="47" spans="1:10">
      <c r="A47" s="4" t="s">
        <v>4</v>
      </c>
      <c r="B47" s="4" t="s">
        <v>36</v>
      </c>
      <c r="C47" s="4" t="s">
        <v>47</v>
      </c>
      <c r="D47" s="4" t="s">
        <v>54</v>
      </c>
      <c r="E47" s="4" t="s">
        <v>57</v>
      </c>
      <c r="F47" s="4" t="s">
        <v>58</v>
      </c>
      <c r="G47" s="4" t="s">
        <v>62</v>
      </c>
      <c r="H47" s="4" t="s">
        <v>67</v>
      </c>
      <c r="I47" s="5">
        <v>10000000</v>
      </c>
      <c r="J47" s="4"/>
    </row>
    <row r="48" spans="1:10">
      <c r="A48" s="4" t="s">
        <v>5</v>
      </c>
      <c r="B48" s="4" t="s">
        <v>37</v>
      </c>
      <c r="C48" s="4" t="s">
        <v>43</v>
      </c>
      <c r="D48" s="4" t="s">
        <v>50</v>
      </c>
      <c r="E48" s="4"/>
      <c r="F48" s="4"/>
      <c r="G48" s="4"/>
      <c r="H48" s="4"/>
      <c r="I48" s="5">
        <v>-10000000</v>
      </c>
      <c r="J48" s="4"/>
    </row>
    <row r="49" spans="1:10">
      <c r="A49" s="4" t="s">
        <v>6</v>
      </c>
      <c r="B49" s="4" t="s">
        <v>38</v>
      </c>
      <c r="C49" s="4" t="s">
        <v>43</v>
      </c>
      <c r="D49" s="4" t="s">
        <v>50</v>
      </c>
      <c r="E49" s="4"/>
      <c r="F49" s="4"/>
      <c r="G49" s="4"/>
      <c r="H49" s="4"/>
      <c r="I49" s="5">
        <v>-9500000</v>
      </c>
      <c r="J49" s="4"/>
    </row>
    <row r="50" spans="1:10">
      <c r="A50" s="4" t="s">
        <v>7</v>
      </c>
      <c r="B50" s="4" t="s">
        <v>39</v>
      </c>
      <c r="C50" s="4" t="s">
        <v>43</v>
      </c>
      <c r="D50" s="4" t="s">
        <v>50</v>
      </c>
      <c r="E50" s="4"/>
      <c r="F50" s="4"/>
      <c r="G50" s="4"/>
      <c r="H50" s="4"/>
      <c r="I50" s="5">
        <v>-9000000</v>
      </c>
      <c r="J50" s="4"/>
    </row>
    <row r="51" spans="1:10">
      <c r="A51" s="4" t="s">
        <v>8</v>
      </c>
      <c r="B51" s="4" t="s">
        <v>40</v>
      </c>
      <c r="C51" s="4" t="s">
        <v>43</v>
      </c>
      <c r="D51" s="4" t="s">
        <v>50</v>
      </c>
      <c r="E51" s="4"/>
      <c r="F51" s="4"/>
      <c r="G51" s="4"/>
      <c r="H51" s="4"/>
      <c r="I51" s="5">
        <v>-10000000</v>
      </c>
      <c r="J51" s="4"/>
    </row>
    <row r="52" spans="1:10">
      <c r="A52" s="4" t="s">
        <v>9</v>
      </c>
      <c r="B52" s="4" t="s">
        <v>41</v>
      </c>
      <c r="C52" s="4" t="s">
        <v>45</v>
      </c>
      <c r="D52" s="4" t="s">
        <v>52</v>
      </c>
      <c r="E52" s="4" t="s">
        <v>57</v>
      </c>
      <c r="F52" s="4" t="s">
        <v>58</v>
      </c>
      <c r="G52" s="4"/>
      <c r="H52" s="4"/>
      <c r="I52" s="5">
        <v>-7100000</v>
      </c>
      <c r="J52" s="4"/>
    </row>
    <row r="53" spans="1:10">
      <c r="A53" s="4" t="s">
        <v>10</v>
      </c>
      <c r="B53" s="4" t="s">
        <v>42</v>
      </c>
      <c r="C53" s="4" t="s">
        <v>49</v>
      </c>
      <c r="D53" s="4" t="s">
        <v>56</v>
      </c>
      <c r="E53" s="4" t="s">
        <v>57</v>
      </c>
      <c r="F53" s="4" t="s">
        <v>58</v>
      </c>
      <c r="G53" s="4"/>
      <c r="H53" s="4"/>
      <c r="I53" s="5">
        <v>9000000</v>
      </c>
      <c r="J53" s="4"/>
    </row>
    <row r="54" spans="1:10">
      <c r="A54" s="6" t="s">
        <v>85</v>
      </c>
      <c r="B54" s="6"/>
      <c r="C54" s="6"/>
      <c r="D54" s="6"/>
      <c r="E54" s="6"/>
      <c r="F54" s="6"/>
      <c r="G54" s="6"/>
      <c r="H54" s="6"/>
      <c r="I54" s="7">
        <f>SUBTOTAL(9, I7:I53)</f>
        <v>0</v>
      </c>
      <c r="J54" s="6"/>
    </row>
  </sheetData>
  <autoFilter ref="A6:J53"/>
  <mergeCells count="5"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6" width="20.7109375" customWidth="1"/>
  </cols>
  <sheetData>
    <row r="1" spans="1:6">
      <c r="A1" s="1" t="s">
        <v>70</v>
      </c>
      <c r="B1" s="1"/>
      <c r="C1" s="1"/>
      <c r="D1" s="1"/>
      <c r="E1" s="1"/>
      <c r="F1" s="1"/>
    </row>
    <row r="2" spans="1:6">
      <c r="A2" s="2" t="s">
        <v>71</v>
      </c>
      <c r="B2" s="2"/>
      <c r="C2" s="2"/>
      <c r="D2" s="2"/>
      <c r="E2" s="2"/>
      <c r="F2" s="2"/>
    </row>
    <row r="3" spans="1:6">
      <c r="A3" s="2" t="s">
        <v>72</v>
      </c>
      <c r="B3" s="2"/>
      <c r="C3" s="2"/>
      <c r="D3" s="2"/>
      <c r="E3" s="2"/>
      <c r="F3" s="2"/>
    </row>
    <row r="4" spans="1:6">
      <c r="A4" s="2" t="s">
        <v>73</v>
      </c>
      <c r="B4" s="2"/>
      <c r="C4" s="2"/>
      <c r="D4" s="2"/>
      <c r="E4" s="2"/>
      <c r="F4" s="2"/>
    </row>
    <row r="5" spans="1:6">
      <c r="A5" s="2" t="s">
        <v>74</v>
      </c>
      <c r="B5" s="2"/>
      <c r="C5" s="2"/>
      <c r="D5" s="2"/>
      <c r="E5" s="2"/>
      <c r="F5" s="2"/>
    </row>
    <row r="6" spans="1:6">
      <c r="A6" s="3" t="s">
        <v>80</v>
      </c>
      <c r="B6" s="3" t="s">
        <v>86</v>
      </c>
      <c r="C6" s="3" t="s">
        <v>87</v>
      </c>
      <c r="D6" s="3" t="s">
        <v>88</v>
      </c>
      <c r="E6" s="3" t="s">
        <v>89</v>
      </c>
      <c r="F6" s="3" t="s">
        <v>90</v>
      </c>
    </row>
    <row r="7" spans="1:6">
      <c r="A7" s="4" t="s">
        <v>58</v>
      </c>
      <c r="B7" s="5">
        <v>9000000</v>
      </c>
      <c r="C7" s="5">
        <v>-35000000</v>
      </c>
      <c r="D7" s="5">
        <v>2425598</v>
      </c>
      <c r="E7" s="5">
        <v>-127403395</v>
      </c>
      <c r="F7" s="5">
        <v>-150977797</v>
      </c>
    </row>
    <row r="8" spans="1:6">
      <c r="A8" s="6" t="s">
        <v>85</v>
      </c>
      <c r="B8" s="7">
        <f>SUBTOTAL(9, B7:B7)</f>
        <v>0</v>
      </c>
      <c r="C8" s="7">
        <f>SUBTOTAL(9, C7:C7)</f>
        <v>0</v>
      </c>
      <c r="D8" s="7">
        <f>SUBTOTAL(9, D7:D7)</f>
        <v>0</v>
      </c>
      <c r="E8" s="7">
        <f>SUBTOTAL(9, E7:E7)</f>
        <v>0</v>
      </c>
      <c r="F8" s="7">
        <f>SUBTOTAL(9, F7:F7)</f>
        <v>0</v>
      </c>
    </row>
  </sheetData>
  <autoFilter ref="A6:F7"/>
  <mergeCells count="5"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2026-03-11T02:22:09Z</dcterms:created>
  <dcterms:modified xsi:type="dcterms:W3CDTF">2026-03-11T02:22:09Z</dcterms:modified>
</cp:coreProperties>
</file>
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pivot" sheetId="2" r:id="rId2"/>
  </sheets>
  <definedNames>
    <definedName name="_xlnm._FilterDatabase" localSheetId="0" hidden="1">detalle!$A$6:$I$72</definedName>
    <definedName name="_xlnm._FilterDatabase" localSheetId="1" hidden="1">pivot!$A$6:$D$27</definedName>
  </definedNames>
  <calcPr calcId="124519" fullCalcOnLoad="1"/>
</workbook>
</file>

<file path=xl/sharedStrings.xml><?xml version="1.0" encoding="utf-8"?>
<sst xmlns="http://schemas.openxmlformats.org/spreadsheetml/2006/main" count="1015" uniqueCount="203">
  <si>
    <t>01/01/2025</t>
  </si>
  <si>
    <t>18/01/2025</t>
  </si>
  <si>
    <t>28/01/2025</t>
  </si>
  <si>
    <t>29/01/2025</t>
  </si>
  <si>
    <t>11/02/2025</t>
  </si>
  <si>
    <t>18/02/2025</t>
  </si>
  <si>
    <t>28/02/2025</t>
  </si>
  <si>
    <t>10/03/2025</t>
  </si>
  <si>
    <t>15/03/2025</t>
  </si>
  <si>
    <t>28/03/2025</t>
  </si>
  <si>
    <t>12/04/2025</t>
  </si>
  <si>
    <t>28/04/2025</t>
  </si>
  <si>
    <t>20/05/2025</t>
  </si>
  <si>
    <t>26/05/2025</t>
  </si>
  <si>
    <t>28/05/2025</t>
  </si>
  <si>
    <t>02/06/2025</t>
  </si>
  <si>
    <t>30/06/2025</t>
  </si>
  <si>
    <t>07/07/2025</t>
  </si>
  <si>
    <t>11/07/2025</t>
  </si>
  <si>
    <t>12/09/2025</t>
  </si>
  <si>
    <t>13/09/2025</t>
  </si>
  <si>
    <t>25/09/2025</t>
  </si>
  <si>
    <t>29/09/2025</t>
  </si>
  <si>
    <t>09/10/2025</t>
  </si>
  <si>
    <t>11/10/2025</t>
  </si>
  <si>
    <t>13/10/2025</t>
  </si>
  <si>
    <t>14/10/2025</t>
  </si>
  <si>
    <t>15/10/2025</t>
  </si>
  <si>
    <t>16/10/2025</t>
  </si>
  <si>
    <t>27/10/2025</t>
  </si>
  <si>
    <t>28/10/2025</t>
  </si>
  <si>
    <t>01/11/2025</t>
  </si>
  <si>
    <t>03/11/2025</t>
  </si>
  <si>
    <t>10/11/2025</t>
  </si>
  <si>
    <t>11/11/2025</t>
  </si>
  <si>
    <t>13/11/2025</t>
  </si>
  <si>
    <t>14/11/2025</t>
  </si>
  <si>
    <t>19/11/2025</t>
  </si>
  <si>
    <t>27/11/2025</t>
  </si>
  <si>
    <t>11/12/2025</t>
  </si>
  <si>
    <t>15/12/2025</t>
  </si>
  <si>
    <t>16/12/2025</t>
  </si>
  <si>
    <t>17/12/2025</t>
  </si>
  <si>
    <t>18/12/2025</t>
  </si>
  <si>
    <t>31/12/2025</t>
  </si>
  <si>
    <t>t475</t>
  </si>
  <si>
    <t>e291</t>
  </si>
  <si>
    <t>e292</t>
  </si>
  <si>
    <t>t455</t>
  </si>
  <si>
    <t>e309</t>
  </si>
  <si>
    <t>e305</t>
  </si>
  <si>
    <t>e306</t>
  </si>
  <si>
    <t>e405</t>
  </si>
  <si>
    <t>e326</t>
  </si>
  <si>
    <t>e324</t>
  </si>
  <si>
    <t>e327</t>
  </si>
  <si>
    <t>e339</t>
  </si>
  <si>
    <t>e331</t>
  </si>
  <si>
    <t>e341</t>
  </si>
  <si>
    <t>e342</t>
  </si>
  <si>
    <t>e343</t>
  </si>
  <si>
    <t>e445</t>
  </si>
  <si>
    <t>t659</t>
  </si>
  <si>
    <t>t602</t>
  </si>
  <si>
    <t>t603</t>
  </si>
  <si>
    <t>t606</t>
  </si>
  <si>
    <t>t615</t>
  </si>
  <si>
    <t>e406</t>
  </si>
  <si>
    <t>e416</t>
  </si>
  <si>
    <t>e417</t>
  </si>
  <si>
    <t>t612</t>
  </si>
  <si>
    <t>t613</t>
  </si>
  <si>
    <t>e381</t>
  </si>
  <si>
    <t>t608</t>
  </si>
  <si>
    <t>t557</t>
  </si>
  <si>
    <t>t558</t>
  </si>
  <si>
    <t>e412</t>
  </si>
  <si>
    <t>t556</t>
  </si>
  <si>
    <t>t761</t>
  </si>
  <si>
    <t>t567</t>
  </si>
  <si>
    <t>e415</t>
  </si>
  <si>
    <t>e423</t>
  </si>
  <si>
    <t>t565</t>
  </si>
  <si>
    <t>e414</t>
  </si>
  <si>
    <t>t683</t>
  </si>
  <si>
    <t>t569</t>
  </si>
  <si>
    <t>t570</t>
  </si>
  <si>
    <t>t680</t>
  </si>
  <si>
    <t>t681</t>
  </si>
  <si>
    <t>t679</t>
  </si>
  <si>
    <t>t762</t>
  </si>
  <si>
    <t>t596</t>
  </si>
  <si>
    <t>t678</t>
  </si>
  <si>
    <t>t677</t>
  </si>
  <si>
    <t>t690</t>
  </si>
  <si>
    <t>t691</t>
  </si>
  <si>
    <t>t763</t>
  </si>
  <si>
    <t>t617</t>
  </si>
  <si>
    <t>t686</t>
  </si>
  <si>
    <t>t687</t>
  </si>
  <si>
    <t>t688</t>
  </si>
  <si>
    <t>t685</t>
  </si>
  <si>
    <t>e442</t>
  </si>
  <si>
    <t>1.01.11.01</t>
  </si>
  <si>
    <t>2.01.07.01</t>
  </si>
  <si>
    <t>Anticipo Proveedores</t>
  </si>
  <si>
    <t>Proveedores Nacionales</t>
  </si>
  <si>
    <t>77.856.058-5</t>
  </si>
  <si>
    <t>99.225.000-3</t>
  </si>
  <si>
    <t>999-7</t>
  </si>
  <si>
    <t>77.137.860-9</t>
  </si>
  <si>
    <t>77.700.765-3</t>
  </si>
  <si>
    <t>76.811.367-K</t>
  </si>
  <si>
    <t>96.554.710-K</t>
  </si>
  <si>
    <t>77.261.280-K</t>
  </si>
  <si>
    <t>97.004.000-5</t>
  </si>
  <si>
    <t>80.989.400-2</t>
  </si>
  <si>
    <t>78.936.330-7</t>
  </si>
  <si>
    <t>76.927.160-0</t>
  </si>
  <si>
    <t>79.831.880-2</t>
  </si>
  <si>
    <t>77.839.043-4</t>
  </si>
  <si>
    <t>96.999.930-7</t>
  </si>
  <si>
    <t>79.903.920-6</t>
  </si>
  <si>
    <t>85.969.100-5</t>
  </si>
  <si>
    <t>93.830.000-3</t>
  </si>
  <si>
    <t>77.879.240-0</t>
  </si>
  <si>
    <t>76.394.269-4</t>
  </si>
  <si>
    <t>78.725.470-5</t>
  </si>
  <si>
    <t>ASESORIAS EMPRESARIALES FERNANDEZ Y MANSILLA LIMITADA</t>
  </si>
  <si>
    <t>CHUBB SEGUROS CHILE S.A.</t>
  </si>
  <si>
    <t>RUT AUXILIAR</t>
  </si>
  <si>
    <t>Comercial K SpA</t>
  </si>
  <si>
    <t>SOCIEDAD DE PROFESIONALES HB LIMITADA</t>
  </si>
  <si>
    <t>PIRACÉS ABOGADOS LIMITADA</t>
  </si>
  <si>
    <t>COMERCIALIZADORA DE VESTUARIO S.A.</t>
  </si>
  <si>
    <t>FALABELLA RETAIL S.A.</t>
  </si>
  <si>
    <t>Banco de Chile</t>
  </si>
  <si>
    <t>AGENCIA DE VIAJES TURAVION SpA</t>
  </si>
  <si>
    <t>Innovacion y Tecnologia Empresarial ITEM Ltda.</t>
  </si>
  <si>
    <t>STUDIO GROUP SPA</t>
  </si>
  <si>
    <t>Comercial Scanavini Limitada</t>
  </si>
  <si>
    <t>DYG INGEVENT SPA</t>
  </si>
  <si>
    <t>KITCHEN CENTER</t>
  </si>
  <si>
    <t>COMERCIAL HISPANO CHILENA LIMITADA</t>
  </si>
  <si>
    <t>Manufacturas Eléctricas ByP Ltda.</t>
  </si>
  <si>
    <t>Compañías CIC S.A.</t>
  </si>
  <si>
    <t>Samsung Electronics Chile</t>
  </si>
  <si>
    <t>UPPERCLASS LIMITADA</t>
  </si>
  <si>
    <t>INVERSIONES FEMINISIMA LTDA</t>
  </si>
  <si>
    <t>Factura Electrónica #2963595</t>
  </si>
  <si>
    <t>Factura Electrónica #1142936</t>
  </si>
  <si>
    <t>Factura Electrónica #1241362</t>
  </si>
  <si>
    <t>Factura Electrónica #1256407</t>
  </si>
  <si>
    <t>Factura Exenta Electrónica #1779</t>
  </si>
  <si>
    <t>Factura Exenta Electrónica #887</t>
  </si>
  <si>
    <t>Factura Electrónica #120555</t>
  </si>
  <si>
    <t>Factura Electrónica #5364567</t>
  </si>
  <si>
    <t>Factura Electrónica #5364568</t>
  </si>
  <si>
    <t>Factura Exenta Electrónica #27183445</t>
  </si>
  <si>
    <t>Factura Exenta Electrónica #27513436</t>
  </si>
  <si>
    <t>Factura Electrónica #1405804</t>
  </si>
  <si>
    <t>Factura Electrónica #1405806</t>
  </si>
  <si>
    <t>Factura Exenta Electrónica #27675696</t>
  </si>
  <si>
    <t>Factura Electrónica #1231862</t>
  </si>
  <si>
    <t>Factura Electrónica #228726</t>
  </si>
  <si>
    <t>Factura Electrónica #1233139</t>
  </si>
  <si>
    <t>Factura Electrónica #384493</t>
  </si>
  <si>
    <t>Factura Electrónica #181</t>
  </si>
  <si>
    <t>Factura Electrónica #11357158</t>
  </si>
  <si>
    <t>Factura Exenta Electrónica #27838392</t>
  </si>
  <si>
    <t>Factura Electrónica #807927</t>
  </si>
  <si>
    <t>Factura Electrónica #316200</t>
  </si>
  <si>
    <t>Factura Electrónica #5216074</t>
  </si>
  <si>
    <t>Factura Electrónica #5216073</t>
  </si>
  <si>
    <t>Factura Exenta Electrónica #28004790</t>
  </si>
  <si>
    <t>Factura Electrónica #1995210</t>
  </si>
  <si>
    <t>Factura Electrónica #476</t>
  </si>
  <si>
    <t>Factura Electrónica #196</t>
  </si>
  <si>
    <t>Factura Electrónica #1784</t>
  </si>
  <si>
    <t>20/07/2024</t>
  </si>
  <si>
    <t>01/12/2023</t>
  </si>
  <si>
    <t>17/07/2024</t>
  </si>
  <si>
    <t>28/08/2024</t>
  </si>
  <si>
    <t>29/10/2023</t>
  </si>
  <si>
    <t>07/06/2023</t>
  </si>
  <si>
    <t>REPORTE INTELIGENTE CONTABLE</t>
  </si>
  <si>
    <t>EMPRESA: INVERSIONES ARGANDONA DE LA FUENTE SPA</t>
  </si>
  <si>
    <t>RUT: 76984644-1</t>
  </si>
  <si>
    <t>PERÍODO: 01/01/2025 HASTA 28/04/2026</t>
  </si>
  <si>
    <t>FECHA EMISIÓN: 28-04-2026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</si>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</sst>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>
  <numFmts count="1">
    <numFmt numFmtId="164" formatCode="#,##0;[Red](#,##0)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9" width="18.7109375" customWidth="1"/>
  </cols>
  <sheetData>
    <row r="1" spans="1:9">
      <c r="A1" s="1" t="s">
        <v>185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186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187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188</v>
      </c>
      <c r="B4" s="2"/>
      <c r="C4" s="2"/>
      <c r="D4" s="2"/>
      <c r="E4" s="2"/>
      <c r="F4" s="2"/>
      <c r="G4" s="2"/>
      <c r="H4" s="2"/>
      <c r="I4" s="2"/>
    </row>
    <row r="5" spans="1:9">
      <c r="A5" s="2" t="s">
        <v>189</v>
      </c>
      <c r="B5" s="2"/>
      <c r="C5" s="2"/>
      <c r="D5" s="2"/>
      <c r="E5" s="2"/>
      <c r="F5" s="2"/>
      <c r="G5" s="2"/>
      <c r="H5" s="2"/>
      <c r="I5" s="2"/>
    </row>
    <row r="6" spans="1:9">
      <c r="A6" s="3" t="s">
        <v>190</v>
      </c>
      <c r="B6" s="3" t="s">
        <v>191</v>
      </c>
      <c r="C6" s="3" t="s">
        <v>192</v>
      </c>
      <c r="D6" s="3" t="s">
        <v>193</v>
      </c>
      <c r="E6" s="3" t="s">
        <v>194</v>
      </c>
      <c r="F6" s="3" t="s">
        <v>195</v>
      </c>
      <c r="G6" s="3" t="s">
        <v>196</v>
      </c>
      <c r="H6" s="3" t="s">
        <v>197</v>
      </c>
      <c r="I6" s="3" t="s">
        <v>198</v>
      </c>
    </row>
    <row r="7" spans="1:9">
      <c r="A7" s="4" t="s">
        <v>0</v>
      </c>
      <c r="B7" s="4" t="s">
        <v>45</v>
      </c>
      <c r="C7" s="4" t="s">
        <v>103</v>
      </c>
      <c r="D7" s="4" t="s">
        <v>105</v>
      </c>
      <c r="E7" s="4" t="s">
        <v>107</v>
      </c>
      <c r="F7" s="4" t="s">
        <v>128</v>
      </c>
      <c r="G7" s="4"/>
      <c r="H7" s="4"/>
      <c r="I7" s="5">
        <v>770662</v>
      </c>
    </row>
    <row r="8" spans="1:9">
      <c r="A8" s="4" t="s">
        <v>0</v>
      </c>
      <c r="B8" s="4" t="s">
        <v>45</v>
      </c>
      <c r="C8" s="4" t="s">
        <v>103</v>
      </c>
      <c r="D8" s="4" t="s">
        <v>105</v>
      </c>
      <c r="E8" s="4" t="s">
        <v>108</v>
      </c>
      <c r="F8" s="4" t="s">
        <v>129</v>
      </c>
      <c r="G8" s="4"/>
      <c r="H8" s="4"/>
      <c r="I8" s="5">
        <v>23078</v>
      </c>
    </row>
    <row r="9" spans="1:9">
      <c r="A9" s="4" t="s">
        <v>0</v>
      </c>
      <c r="B9" s="4" t="s">
        <v>45</v>
      </c>
      <c r="C9" s="4" t="s">
        <v>103</v>
      </c>
      <c r="D9" s="4" t="s">
        <v>105</v>
      </c>
      <c r="E9" s="4" t="s">
        <v>109</v>
      </c>
      <c r="F9" s="4" t="s">
        <v>130</v>
      </c>
      <c r="G9" s="4"/>
      <c r="H9" s="4"/>
      <c r="I9" s="5">
        <v>7184</v>
      </c>
    </row>
    <row r="10" spans="1:9">
      <c r="A10" s="4" t="s">
        <v>0</v>
      </c>
      <c r="B10" s="4" t="s">
        <v>45</v>
      </c>
      <c r="C10" s="4" t="s">
        <v>104</v>
      </c>
      <c r="D10" s="4" t="s">
        <v>106</v>
      </c>
      <c r="E10" s="4" t="s">
        <v>108</v>
      </c>
      <c r="F10" s="4" t="s">
        <v>129</v>
      </c>
      <c r="G10" s="4" t="s">
        <v>149</v>
      </c>
      <c r="H10" s="4" t="s">
        <v>179</v>
      </c>
      <c r="I10" s="5">
        <v>175</v>
      </c>
    </row>
    <row r="11" spans="1:9">
      <c r="A11" s="4" t="s">
        <v>0</v>
      </c>
      <c r="B11" s="4" t="s">
        <v>45</v>
      </c>
      <c r="C11" s="4" t="s">
        <v>104</v>
      </c>
      <c r="D11" s="4" t="s">
        <v>106</v>
      </c>
      <c r="E11" s="4" t="s">
        <v>110</v>
      </c>
      <c r="F11" s="4" t="s">
        <v>131</v>
      </c>
      <c r="G11" s="4" t="s">
        <v>150</v>
      </c>
      <c r="H11" s="4" t="s">
        <v>180</v>
      </c>
      <c r="I11" s="5">
        <v>66090</v>
      </c>
    </row>
    <row r="12" spans="1:9">
      <c r="A12" s="4" t="s">
        <v>0</v>
      </c>
      <c r="B12" s="4" t="s">
        <v>45</v>
      </c>
      <c r="C12" s="4" t="s">
        <v>104</v>
      </c>
      <c r="D12" s="4" t="s">
        <v>106</v>
      </c>
      <c r="E12" s="4" t="s">
        <v>110</v>
      </c>
      <c r="F12" s="4" t="s">
        <v>131</v>
      </c>
      <c r="G12" s="4" t="s">
        <v>151</v>
      </c>
      <c r="H12" s="4" t="s">
        <v>181</v>
      </c>
      <c r="I12" s="5">
        <v>140914</v>
      </c>
    </row>
    <row r="13" spans="1:9">
      <c r="A13" s="4" t="s">
        <v>0</v>
      </c>
      <c r="B13" s="4" t="s">
        <v>45</v>
      </c>
      <c r="C13" s="4" t="s">
        <v>104</v>
      </c>
      <c r="D13" s="4" t="s">
        <v>106</v>
      </c>
      <c r="E13" s="4" t="s">
        <v>110</v>
      </c>
      <c r="F13" s="4" t="s">
        <v>131</v>
      </c>
      <c r="G13" s="4" t="s">
        <v>152</v>
      </c>
      <c r="H13" s="4" t="s">
        <v>182</v>
      </c>
      <c r="I13" s="5">
        <v>-5867464</v>
      </c>
    </row>
    <row r="14" spans="1:9">
      <c r="A14" s="4" t="s">
        <v>0</v>
      </c>
      <c r="B14" s="4" t="s">
        <v>45</v>
      </c>
      <c r="C14" s="4" t="s">
        <v>104</v>
      </c>
      <c r="D14" s="4" t="s">
        <v>106</v>
      </c>
      <c r="E14" s="4" t="s">
        <v>111</v>
      </c>
      <c r="F14" s="4" t="s">
        <v>132</v>
      </c>
      <c r="G14" s="4" t="s">
        <v>153</v>
      </c>
      <c r="H14" s="4" t="s">
        <v>183</v>
      </c>
      <c r="I14" s="5">
        <v>-100000</v>
      </c>
    </row>
    <row r="15" spans="1:9">
      <c r="A15" s="4" t="s">
        <v>0</v>
      </c>
      <c r="B15" s="4" t="s">
        <v>45</v>
      </c>
      <c r="C15" s="4" t="s">
        <v>104</v>
      </c>
      <c r="D15" s="4" t="s">
        <v>106</v>
      </c>
      <c r="E15" s="4" t="s">
        <v>111</v>
      </c>
      <c r="F15" s="4" t="s">
        <v>132</v>
      </c>
      <c r="G15" s="4" t="s">
        <v>154</v>
      </c>
      <c r="H15" s="4" t="s">
        <v>184</v>
      </c>
      <c r="I15" s="5">
        <v>-1200000</v>
      </c>
    </row>
    <row r="16" spans="1:9">
      <c r="A16" s="4" t="s">
        <v>1</v>
      </c>
      <c r="B16" s="4" t="s">
        <v>46</v>
      </c>
      <c r="C16" s="4" t="s">
        <v>103</v>
      </c>
      <c r="D16" s="4" t="s">
        <v>105</v>
      </c>
      <c r="E16" s="4" t="s">
        <v>108</v>
      </c>
      <c r="F16" s="4" t="s">
        <v>129</v>
      </c>
      <c r="G16" s="4"/>
      <c r="H16" s="4"/>
      <c r="I16" s="5">
        <v>-7866</v>
      </c>
    </row>
    <row r="17" spans="1:9">
      <c r="A17" s="4" t="s">
        <v>2</v>
      </c>
      <c r="B17" s="4" t="s">
        <v>47</v>
      </c>
      <c r="C17" s="4" t="s">
        <v>103</v>
      </c>
      <c r="D17" s="4" t="s">
        <v>105</v>
      </c>
      <c r="E17" s="4" t="s">
        <v>108</v>
      </c>
      <c r="F17" s="4" t="s">
        <v>129</v>
      </c>
      <c r="G17" s="4"/>
      <c r="H17" s="4"/>
      <c r="I17" s="5">
        <v>7863</v>
      </c>
    </row>
    <row r="18" spans="1:9">
      <c r="A18" s="4" t="s">
        <v>3</v>
      </c>
      <c r="B18" s="4" t="s">
        <v>48</v>
      </c>
      <c r="C18" s="4" t="s">
        <v>104</v>
      </c>
      <c r="D18" s="4" t="s">
        <v>106</v>
      </c>
      <c r="E18" s="4" t="s">
        <v>110</v>
      </c>
      <c r="F18" s="4" t="s">
        <v>131</v>
      </c>
      <c r="G18" s="4" t="s">
        <v>152</v>
      </c>
      <c r="H18" s="4" t="s">
        <v>182</v>
      </c>
      <c r="I18" s="5">
        <v>6098917</v>
      </c>
    </row>
    <row r="19" spans="1:9">
      <c r="A19" s="4" t="s">
        <v>4</v>
      </c>
      <c r="B19" s="4" t="s">
        <v>49</v>
      </c>
      <c r="C19" s="4" t="s">
        <v>103</v>
      </c>
      <c r="D19" s="4" t="s">
        <v>105</v>
      </c>
      <c r="E19" s="4" t="s">
        <v>112</v>
      </c>
      <c r="F19" s="4" t="s">
        <v>133</v>
      </c>
      <c r="G19" s="4"/>
      <c r="H19" s="4"/>
      <c r="I19" s="5">
        <v>700000</v>
      </c>
    </row>
    <row r="20" spans="1:9">
      <c r="A20" s="4" t="s">
        <v>5</v>
      </c>
      <c r="B20" s="4" t="s">
        <v>50</v>
      </c>
      <c r="C20" s="4" t="s">
        <v>103</v>
      </c>
      <c r="D20" s="4" t="s">
        <v>105</v>
      </c>
      <c r="E20" s="4" t="s">
        <v>108</v>
      </c>
      <c r="F20" s="4" t="s">
        <v>129</v>
      </c>
      <c r="G20" s="4"/>
      <c r="H20" s="4"/>
      <c r="I20" s="5">
        <v>-7862</v>
      </c>
    </row>
    <row r="21" spans="1:9">
      <c r="A21" s="4" t="s">
        <v>6</v>
      </c>
      <c r="B21" s="4" t="s">
        <v>51</v>
      </c>
      <c r="C21" s="4" t="s">
        <v>103</v>
      </c>
      <c r="D21" s="4" t="s">
        <v>105</v>
      </c>
      <c r="E21" s="4" t="s">
        <v>108</v>
      </c>
      <c r="F21" s="4" t="s">
        <v>129</v>
      </c>
      <c r="G21" s="4"/>
      <c r="H21" s="4"/>
      <c r="I21" s="5">
        <v>7915</v>
      </c>
    </row>
    <row r="22" spans="1:9">
      <c r="A22" s="4" t="s">
        <v>7</v>
      </c>
      <c r="B22" s="4" t="s">
        <v>52</v>
      </c>
      <c r="C22" s="4" t="s">
        <v>103</v>
      </c>
      <c r="D22" s="4" t="s">
        <v>105</v>
      </c>
      <c r="E22" s="4" t="s">
        <v>108</v>
      </c>
      <c r="F22" s="4" t="s">
        <v>129</v>
      </c>
      <c r="G22" s="4"/>
      <c r="H22" s="4"/>
      <c r="I22" s="5">
        <v>-7999</v>
      </c>
    </row>
    <row r="23" spans="1:9">
      <c r="A23" s="4" t="s">
        <v>8</v>
      </c>
      <c r="B23" s="4" t="s">
        <v>53</v>
      </c>
      <c r="C23" s="4" t="s">
        <v>103</v>
      </c>
      <c r="D23" s="4" t="s">
        <v>105</v>
      </c>
      <c r="E23" s="4" t="s">
        <v>108</v>
      </c>
      <c r="F23" s="4" t="s">
        <v>129</v>
      </c>
      <c r="G23" s="4"/>
      <c r="H23" s="4"/>
      <c r="I23" s="5">
        <v>-7915</v>
      </c>
    </row>
    <row r="24" spans="1:9">
      <c r="A24" s="4" t="s">
        <v>9</v>
      </c>
      <c r="B24" s="4" t="s">
        <v>54</v>
      </c>
      <c r="C24" s="4" t="s">
        <v>103</v>
      </c>
      <c r="D24" s="4" t="s">
        <v>105</v>
      </c>
      <c r="E24" s="4" t="s">
        <v>108</v>
      </c>
      <c r="F24" s="4" t="s">
        <v>129</v>
      </c>
      <c r="G24" s="4"/>
      <c r="H24" s="4"/>
      <c r="I24" s="5">
        <v>7962</v>
      </c>
    </row>
    <row r="25" spans="1:9">
      <c r="A25" s="4" t="s">
        <v>9</v>
      </c>
      <c r="B25" s="4" t="s">
        <v>55</v>
      </c>
      <c r="C25" s="4" t="s">
        <v>103</v>
      </c>
      <c r="D25" s="4" t="s">
        <v>105</v>
      </c>
      <c r="E25" s="4" t="s">
        <v>112</v>
      </c>
      <c r="F25" s="4" t="s">
        <v>133</v>
      </c>
      <c r="G25" s="4"/>
      <c r="H25" s="4"/>
      <c r="I25" s="5">
        <v>700000</v>
      </c>
    </row>
    <row r="26" spans="1:9">
      <c r="A26" s="4" t="s">
        <v>10</v>
      </c>
      <c r="B26" s="4" t="s">
        <v>56</v>
      </c>
      <c r="C26" s="4" t="s">
        <v>103</v>
      </c>
      <c r="D26" s="4" t="s">
        <v>105</v>
      </c>
      <c r="E26" s="4" t="s">
        <v>108</v>
      </c>
      <c r="F26" s="4" t="s">
        <v>129</v>
      </c>
      <c r="G26" s="4"/>
      <c r="H26" s="4"/>
      <c r="I26" s="5">
        <v>-7961</v>
      </c>
    </row>
    <row r="27" spans="1:9">
      <c r="A27" s="4" t="s">
        <v>11</v>
      </c>
      <c r="B27" s="4" t="s">
        <v>57</v>
      </c>
      <c r="C27" s="4" t="s">
        <v>103</v>
      </c>
      <c r="D27" s="4" t="s">
        <v>105</v>
      </c>
      <c r="E27" s="4" t="s">
        <v>108</v>
      </c>
      <c r="F27" s="4" t="s">
        <v>129</v>
      </c>
      <c r="G27" s="4"/>
      <c r="H27" s="4"/>
      <c r="I27" s="5">
        <v>8000</v>
      </c>
    </row>
    <row r="28" spans="1:9">
      <c r="A28" s="4" t="s">
        <v>12</v>
      </c>
      <c r="B28" s="4" t="s">
        <v>58</v>
      </c>
      <c r="C28" s="4" t="s">
        <v>103</v>
      </c>
      <c r="D28" s="4" t="s">
        <v>105</v>
      </c>
      <c r="E28" s="4" t="s">
        <v>112</v>
      </c>
      <c r="F28" s="4" t="s">
        <v>133</v>
      </c>
      <c r="G28" s="4"/>
      <c r="H28" s="4"/>
      <c r="I28" s="5">
        <v>-720000</v>
      </c>
    </row>
    <row r="29" spans="1:9">
      <c r="A29" s="4" t="s">
        <v>13</v>
      </c>
      <c r="B29" s="4" t="s">
        <v>59</v>
      </c>
      <c r="C29" s="4" t="s">
        <v>103</v>
      </c>
      <c r="D29" s="4" t="s">
        <v>105</v>
      </c>
      <c r="E29" s="4" t="s">
        <v>112</v>
      </c>
      <c r="F29" s="4" t="s">
        <v>133</v>
      </c>
      <c r="G29" s="4"/>
      <c r="H29" s="4"/>
      <c r="I29" s="5">
        <v>720000</v>
      </c>
    </row>
    <row r="30" spans="1:9">
      <c r="A30" s="4" t="s">
        <v>14</v>
      </c>
      <c r="B30" s="4" t="s">
        <v>60</v>
      </c>
      <c r="C30" s="4" t="s">
        <v>103</v>
      </c>
      <c r="D30" s="4" t="s">
        <v>105</v>
      </c>
      <c r="E30" s="4" t="s">
        <v>108</v>
      </c>
      <c r="F30" s="4" t="s">
        <v>129</v>
      </c>
      <c r="G30" s="4"/>
      <c r="H30" s="4"/>
      <c r="I30" s="5">
        <v>8024</v>
      </c>
    </row>
    <row r="31" spans="1:9">
      <c r="A31" s="4" t="s">
        <v>15</v>
      </c>
      <c r="B31" s="4" t="s">
        <v>61</v>
      </c>
      <c r="C31" s="4" t="s">
        <v>103</v>
      </c>
      <c r="D31" s="4" t="s">
        <v>105</v>
      </c>
      <c r="E31" s="4" t="s">
        <v>107</v>
      </c>
      <c r="F31" s="4" t="s">
        <v>128</v>
      </c>
      <c r="G31" s="4"/>
      <c r="H31" s="4"/>
      <c r="I31" s="5">
        <v>200000</v>
      </c>
    </row>
    <row r="32" spans="1:9">
      <c r="A32" s="4" t="s">
        <v>16</v>
      </c>
      <c r="B32" s="4" t="s">
        <v>62</v>
      </c>
      <c r="C32" s="4" t="s">
        <v>104</v>
      </c>
      <c r="D32" s="4" t="s">
        <v>106</v>
      </c>
      <c r="E32" s="4" t="s">
        <v>113</v>
      </c>
      <c r="F32" s="4" t="s">
        <v>134</v>
      </c>
      <c r="G32" s="4" t="s">
        <v>155</v>
      </c>
      <c r="H32" s="4" t="s">
        <v>16</v>
      </c>
      <c r="I32" s="5">
        <v>-856956</v>
      </c>
    </row>
    <row r="33" spans="1:9">
      <c r="A33" s="4" t="s">
        <v>17</v>
      </c>
      <c r="B33" s="4" t="s">
        <v>63</v>
      </c>
      <c r="C33" s="4" t="s">
        <v>104</v>
      </c>
      <c r="D33" s="4" t="s">
        <v>106</v>
      </c>
      <c r="E33" s="4" t="s">
        <v>114</v>
      </c>
      <c r="F33" s="4" t="s">
        <v>135</v>
      </c>
      <c r="G33" s="4" t="s">
        <v>156</v>
      </c>
      <c r="H33" s="4" t="s">
        <v>17</v>
      </c>
      <c r="I33" s="5">
        <v>-80190</v>
      </c>
    </row>
    <row r="34" spans="1:9">
      <c r="A34" s="4" t="s">
        <v>17</v>
      </c>
      <c r="B34" s="4" t="s">
        <v>64</v>
      </c>
      <c r="C34" s="4" t="s">
        <v>104</v>
      </c>
      <c r="D34" s="4" t="s">
        <v>106</v>
      </c>
      <c r="E34" s="4" t="s">
        <v>114</v>
      </c>
      <c r="F34" s="4" t="s">
        <v>135</v>
      </c>
      <c r="G34" s="4" t="s">
        <v>157</v>
      </c>
      <c r="H34" s="4" t="s">
        <v>17</v>
      </c>
      <c r="I34" s="5">
        <v>-90190</v>
      </c>
    </row>
    <row r="35" spans="1:9">
      <c r="A35" s="4" t="s">
        <v>18</v>
      </c>
      <c r="B35" s="4" t="s">
        <v>65</v>
      </c>
      <c r="C35" s="4" t="s">
        <v>104</v>
      </c>
      <c r="D35" s="4" t="s">
        <v>106</v>
      </c>
      <c r="E35" s="4" t="s">
        <v>115</v>
      </c>
      <c r="F35" s="4" t="s">
        <v>136</v>
      </c>
      <c r="G35" s="4" t="s">
        <v>158</v>
      </c>
      <c r="H35" s="4" t="s">
        <v>18</v>
      </c>
      <c r="I35" s="5">
        <v>-3926</v>
      </c>
    </row>
    <row r="36" spans="1:9">
      <c r="A36" s="4" t="s">
        <v>19</v>
      </c>
      <c r="B36" s="4" t="s">
        <v>66</v>
      </c>
      <c r="C36" s="4" t="s">
        <v>104</v>
      </c>
      <c r="D36" s="4" t="s">
        <v>106</v>
      </c>
      <c r="E36" s="4" t="s">
        <v>115</v>
      </c>
      <c r="F36" s="4" t="s">
        <v>136</v>
      </c>
      <c r="G36" s="4" t="s">
        <v>159</v>
      </c>
      <c r="H36" s="4" t="s">
        <v>19</v>
      </c>
      <c r="I36" s="5">
        <v>-3934</v>
      </c>
    </row>
    <row r="37" spans="1:9">
      <c r="A37" s="4" t="s">
        <v>20</v>
      </c>
      <c r="B37" s="4" t="s">
        <v>67</v>
      </c>
      <c r="C37" s="4" t="s">
        <v>103</v>
      </c>
      <c r="D37" s="4" t="s">
        <v>105</v>
      </c>
      <c r="E37" s="4" t="s">
        <v>108</v>
      </c>
      <c r="F37" s="4" t="s">
        <v>129</v>
      </c>
      <c r="G37" s="4"/>
      <c r="H37" s="4"/>
      <c r="I37" s="5">
        <v>-8059</v>
      </c>
    </row>
    <row r="38" spans="1:9">
      <c r="A38" s="4" t="s">
        <v>21</v>
      </c>
      <c r="B38" s="4" t="s">
        <v>68</v>
      </c>
      <c r="C38" s="4" t="s">
        <v>104</v>
      </c>
      <c r="D38" s="4" t="s">
        <v>106</v>
      </c>
      <c r="E38" s="4" t="s">
        <v>110</v>
      </c>
      <c r="F38" s="4" t="s">
        <v>131</v>
      </c>
      <c r="G38" s="4" t="s">
        <v>160</v>
      </c>
      <c r="H38" s="4" t="s">
        <v>21</v>
      </c>
      <c r="I38" s="5">
        <v>4060868</v>
      </c>
    </row>
    <row r="39" spans="1:9">
      <c r="A39" s="4" t="s">
        <v>21</v>
      </c>
      <c r="B39" s="4" t="s">
        <v>69</v>
      </c>
      <c r="C39" s="4" t="s">
        <v>104</v>
      </c>
      <c r="D39" s="4" t="s">
        <v>106</v>
      </c>
      <c r="E39" s="4" t="s">
        <v>110</v>
      </c>
      <c r="F39" s="4" t="s">
        <v>131</v>
      </c>
      <c r="G39" s="4" t="s">
        <v>161</v>
      </c>
      <c r="H39" s="4" t="s">
        <v>21</v>
      </c>
      <c r="I39" s="5">
        <v>1484085</v>
      </c>
    </row>
    <row r="40" spans="1:9">
      <c r="A40" s="4" t="s">
        <v>21</v>
      </c>
      <c r="B40" s="4" t="s">
        <v>70</v>
      </c>
      <c r="C40" s="4" t="s">
        <v>104</v>
      </c>
      <c r="D40" s="4" t="s">
        <v>106</v>
      </c>
      <c r="E40" s="4" t="s">
        <v>110</v>
      </c>
      <c r="F40" s="4" t="s">
        <v>131</v>
      </c>
      <c r="G40" s="4" t="s">
        <v>160</v>
      </c>
      <c r="H40" s="4" t="s">
        <v>21</v>
      </c>
      <c r="I40" s="5">
        <v>-4060868</v>
      </c>
    </row>
    <row r="41" spans="1:9">
      <c r="A41" s="4" t="s">
        <v>21</v>
      </c>
      <c r="B41" s="4" t="s">
        <v>71</v>
      </c>
      <c r="C41" s="4" t="s">
        <v>104</v>
      </c>
      <c r="D41" s="4" t="s">
        <v>106</v>
      </c>
      <c r="E41" s="4" t="s">
        <v>110</v>
      </c>
      <c r="F41" s="4" t="s">
        <v>131</v>
      </c>
      <c r="G41" s="4" t="s">
        <v>161</v>
      </c>
      <c r="H41" s="4" t="s">
        <v>21</v>
      </c>
      <c r="I41" s="5">
        <v>-1484085</v>
      </c>
    </row>
    <row r="42" spans="1:9">
      <c r="A42" s="4" t="s">
        <v>22</v>
      </c>
      <c r="B42" s="4" t="s">
        <v>72</v>
      </c>
      <c r="C42" s="4" t="s">
        <v>103</v>
      </c>
      <c r="D42" s="4" t="s">
        <v>105</v>
      </c>
      <c r="E42" s="4" t="s">
        <v>108</v>
      </c>
      <c r="F42" s="4" t="s">
        <v>129</v>
      </c>
      <c r="G42" s="4"/>
      <c r="H42" s="4"/>
      <c r="I42" s="5">
        <v>8087</v>
      </c>
    </row>
    <row r="43" spans="1:9">
      <c r="A43" s="4" t="s">
        <v>22</v>
      </c>
      <c r="B43" s="4" t="s">
        <v>73</v>
      </c>
      <c r="C43" s="4" t="s">
        <v>104</v>
      </c>
      <c r="D43" s="4" t="s">
        <v>106</v>
      </c>
      <c r="E43" s="4" t="s">
        <v>110</v>
      </c>
      <c r="F43" s="4" t="s">
        <v>131</v>
      </c>
      <c r="G43" s="4" t="s">
        <v>160</v>
      </c>
      <c r="H43" s="4" t="s">
        <v>22</v>
      </c>
      <c r="I43" s="5">
        <v>36698</v>
      </c>
    </row>
    <row r="44" spans="1:9">
      <c r="A44" s="4" t="s">
        <v>23</v>
      </c>
      <c r="B44" s="4" t="s">
        <v>74</v>
      </c>
      <c r="C44" s="4" t="s">
        <v>104</v>
      </c>
      <c r="D44" s="4" t="s">
        <v>106</v>
      </c>
      <c r="E44" s="4" t="s">
        <v>110</v>
      </c>
      <c r="F44" s="4" t="s">
        <v>131</v>
      </c>
      <c r="G44" s="4" t="s">
        <v>161</v>
      </c>
      <c r="H44" s="4" t="s">
        <v>23</v>
      </c>
      <c r="I44" s="5">
        <v>228447</v>
      </c>
    </row>
    <row r="45" spans="1:9">
      <c r="A45" s="4" t="s">
        <v>23</v>
      </c>
      <c r="B45" s="4" t="s">
        <v>75</v>
      </c>
      <c r="C45" s="4" t="s">
        <v>104</v>
      </c>
      <c r="D45" s="4" t="s">
        <v>106</v>
      </c>
      <c r="E45" s="4" t="s">
        <v>110</v>
      </c>
      <c r="F45" s="4" t="s">
        <v>131</v>
      </c>
      <c r="G45" s="4" t="s">
        <v>160</v>
      </c>
      <c r="H45" s="4" t="s">
        <v>23</v>
      </c>
      <c r="I45" s="5">
        <v>110095</v>
      </c>
    </row>
    <row r="46" spans="1:9">
      <c r="A46" s="4" t="s">
        <v>24</v>
      </c>
      <c r="B46" s="4" t="s">
        <v>76</v>
      </c>
      <c r="C46" s="4" t="s">
        <v>103</v>
      </c>
      <c r="D46" s="4" t="s">
        <v>105</v>
      </c>
      <c r="E46" s="4" t="s">
        <v>108</v>
      </c>
      <c r="F46" s="4" t="s">
        <v>129</v>
      </c>
      <c r="G46" s="4"/>
      <c r="H46" s="4"/>
      <c r="I46" s="5">
        <v>-8086</v>
      </c>
    </row>
    <row r="47" spans="1:9">
      <c r="A47" s="4" t="s">
        <v>25</v>
      </c>
      <c r="B47" s="4" t="s">
        <v>77</v>
      </c>
      <c r="C47" s="4" t="s">
        <v>104</v>
      </c>
      <c r="D47" s="4" t="s">
        <v>106</v>
      </c>
      <c r="E47" s="4" t="s">
        <v>110</v>
      </c>
      <c r="F47" s="4" t="s">
        <v>131</v>
      </c>
      <c r="G47" s="4" t="s">
        <v>161</v>
      </c>
      <c r="H47" s="4" t="s">
        <v>25</v>
      </c>
      <c r="I47" s="5">
        <v>76149</v>
      </c>
    </row>
    <row r="48" spans="1:9">
      <c r="A48" s="4" t="s">
        <v>26</v>
      </c>
      <c r="B48" s="4" t="s">
        <v>78</v>
      </c>
      <c r="C48" s="4" t="s">
        <v>103</v>
      </c>
      <c r="D48" s="4" t="s">
        <v>105</v>
      </c>
      <c r="E48" s="4" t="s">
        <v>116</v>
      </c>
      <c r="F48" s="4" t="s">
        <v>137</v>
      </c>
      <c r="G48" s="4"/>
      <c r="H48" s="4"/>
      <c r="I48" s="5">
        <v>1893213</v>
      </c>
    </row>
    <row r="49" spans="1:9">
      <c r="A49" s="4" t="s">
        <v>27</v>
      </c>
      <c r="B49" s="4" t="s">
        <v>79</v>
      </c>
      <c r="C49" s="4" t="s">
        <v>104</v>
      </c>
      <c r="D49" s="4" t="s">
        <v>106</v>
      </c>
      <c r="E49" s="4" t="s">
        <v>115</v>
      </c>
      <c r="F49" s="4" t="s">
        <v>136</v>
      </c>
      <c r="G49" s="4" t="s">
        <v>162</v>
      </c>
      <c r="H49" s="4" t="s">
        <v>27</v>
      </c>
      <c r="I49" s="5">
        <v>-3949</v>
      </c>
    </row>
    <row r="50" spans="1:9">
      <c r="A50" s="4" t="s">
        <v>28</v>
      </c>
      <c r="B50" s="4" t="s">
        <v>80</v>
      </c>
      <c r="C50" s="4" t="s">
        <v>103</v>
      </c>
      <c r="D50" s="4" t="s">
        <v>105</v>
      </c>
      <c r="E50" s="4" t="s">
        <v>112</v>
      </c>
      <c r="F50" s="4" t="s">
        <v>133</v>
      </c>
      <c r="G50" s="4"/>
      <c r="H50" s="4"/>
      <c r="I50" s="5">
        <v>272200</v>
      </c>
    </row>
    <row r="51" spans="1:9">
      <c r="A51" s="4" t="s">
        <v>29</v>
      </c>
      <c r="B51" s="4" t="s">
        <v>81</v>
      </c>
      <c r="C51" s="4" t="s">
        <v>104</v>
      </c>
      <c r="D51" s="4" t="s">
        <v>106</v>
      </c>
      <c r="E51" s="4" t="s">
        <v>117</v>
      </c>
      <c r="F51" s="4" t="s">
        <v>138</v>
      </c>
      <c r="G51" s="4" t="s">
        <v>163</v>
      </c>
      <c r="H51" s="4" t="s">
        <v>29</v>
      </c>
      <c r="I51" s="5">
        <v>70969</v>
      </c>
    </row>
    <row r="52" spans="1:9">
      <c r="A52" s="4" t="s">
        <v>29</v>
      </c>
      <c r="B52" s="4" t="s">
        <v>82</v>
      </c>
      <c r="C52" s="4" t="s">
        <v>104</v>
      </c>
      <c r="D52" s="4" t="s">
        <v>106</v>
      </c>
      <c r="E52" s="4" t="s">
        <v>117</v>
      </c>
      <c r="F52" s="4" t="s">
        <v>138</v>
      </c>
      <c r="G52" s="4" t="s">
        <v>163</v>
      </c>
      <c r="H52" s="4" t="s">
        <v>29</v>
      </c>
      <c r="I52" s="5">
        <v>-70969</v>
      </c>
    </row>
    <row r="53" spans="1:9">
      <c r="A53" s="4" t="s">
        <v>30</v>
      </c>
      <c r="B53" s="4" t="s">
        <v>83</v>
      </c>
      <c r="C53" s="4" t="s">
        <v>103</v>
      </c>
      <c r="D53" s="4" t="s">
        <v>105</v>
      </c>
      <c r="E53" s="4" t="s">
        <v>108</v>
      </c>
      <c r="F53" s="4" t="s">
        <v>129</v>
      </c>
      <c r="G53" s="4"/>
      <c r="H53" s="4"/>
      <c r="I53" s="5">
        <v>8106</v>
      </c>
    </row>
    <row r="54" spans="1:9">
      <c r="A54" s="4" t="s">
        <v>31</v>
      </c>
      <c r="B54" s="4" t="s">
        <v>84</v>
      </c>
      <c r="C54" s="4" t="s">
        <v>104</v>
      </c>
      <c r="D54" s="4" t="s">
        <v>106</v>
      </c>
      <c r="E54" s="4" t="s">
        <v>118</v>
      </c>
      <c r="F54" s="4" t="s">
        <v>139</v>
      </c>
      <c r="G54" s="4" t="s">
        <v>164</v>
      </c>
      <c r="H54" s="4" t="s">
        <v>29</v>
      </c>
      <c r="I54" s="5">
        <v>-337200</v>
      </c>
    </row>
    <row r="55" spans="1:9">
      <c r="A55" s="4" t="s">
        <v>32</v>
      </c>
      <c r="B55" s="4" t="s">
        <v>85</v>
      </c>
      <c r="C55" s="4" t="s">
        <v>104</v>
      </c>
      <c r="D55" s="4" t="s">
        <v>106</v>
      </c>
      <c r="E55" s="4" t="s">
        <v>117</v>
      </c>
      <c r="F55" s="4" t="s">
        <v>138</v>
      </c>
      <c r="G55" s="4" t="s">
        <v>163</v>
      </c>
      <c r="H55" s="4" t="s">
        <v>32</v>
      </c>
      <c r="I55" s="5">
        <v>22990</v>
      </c>
    </row>
    <row r="56" spans="1:9">
      <c r="A56" s="4" t="s">
        <v>32</v>
      </c>
      <c r="B56" s="4" t="s">
        <v>86</v>
      </c>
      <c r="C56" s="4" t="s">
        <v>104</v>
      </c>
      <c r="D56" s="4" t="s">
        <v>106</v>
      </c>
      <c r="E56" s="4" t="s">
        <v>117</v>
      </c>
      <c r="F56" s="4" t="s">
        <v>138</v>
      </c>
      <c r="G56" s="4" t="s">
        <v>165</v>
      </c>
      <c r="H56" s="4" t="s">
        <v>32</v>
      </c>
      <c r="I56" s="5">
        <v>-34990</v>
      </c>
    </row>
    <row r="57" spans="1:9">
      <c r="A57" s="4" t="s">
        <v>33</v>
      </c>
      <c r="B57" s="4" t="s">
        <v>87</v>
      </c>
      <c r="C57" s="4" t="s">
        <v>104</v>
      </c>
      <c r="D57" s="4" t="s">
        <v>106</v>
      </c>
      <c r="E57" s="4" t="s">
        <v>119</v>
      </c>
      <c r="F57" s="4" t="s">
        <v>140</v>
      </c>
      <c r="G57" s="4" t="s">
        <v>166</v>
      </c>
      <c r="H57" s="4" t="s">
        <v>33</v>
      </c>
      <c r="I57" s="5">
        <v>-247798</v>
      </c>
    </row>
    <row r="58" spans="1:9">
      <c r="A58" s="4" t="s">
        <v>33</v>
      </c>
      <c r="B58" s="4" t="s">
        <v>88</v>
      </c>
      <c r="C58" s="4" t="s">
        <v>104</v>
      </c>
      <c r="D58" s="4" t="s">
        <v>106</v>
      </c>
      <c r="E58" s="4" t="s">
        <v>120</v>
      </c>
      <c r="F58" s="4" t="s">
        <v>141</v>
      </c>
      <c r="G58" s="4" t="s">
        <v>167</v>
      </c>
      <c r="H58" s="4" t="s">
        <v>33</v>
      </c>
      <c r="I58" s="5">
        <v>-3642888</v>
      </c>
    </row>
    <row r="59" spans="1:9">
      <c r="A59" s="4" t="s">
        <v>34</v>
      </c>
      <c r="B59" s="4" t="s">
        <v>89</v>
      </c>
      <c r="C59" s="4" t="s">
        <v>104</v>
      </c>
      <c r="D59" s="4" t="s">
        <v>106</v>
      </c>
      <c r="E59" s="4" t="s">
        <v>121</v>
      </c>
      <c r="F59" s="4" t="s">
        <v>142</v>
      </c>
      <c r="G59" s="4" t="s">
        <v>168</v>
      </c>
      <c r="H59" s="4" t="s">
        <v>34</v>
      </c>
      <c r="I59" s="5">
        <v>-729961</v>
      </c>
    </row>
    <row r="60" spans="1:9">
      <c r="A60" s="4" t="s">
        <v>35</v>
      </c>
      <c r="B60" s="4" t="s">
        <v>90</v>
      </c>
      <c r="C60" s="4" t="s">
        <v>103</v>
      </c>
      <c r="D60" s="4" t="s">
        <v>105</v>
      </c>
      <c r="E60" s="4" t="s">
        <v>116</v>
      </c>
      <c r="F60" s="4" t="s">
        <v>137</v>
      </c>
      <c r="G60" s="4"/>
      <c r="H60" s="4"/>
      <c r="I60" s="5">
        <v>2629574</v>
      </c>
    </row>
    <row r="61" spans="1:9">
      <c r="A61" s="4" t="s">
        <v>36</v>
      </c>
      <c r="B61" s="4" t="s">
        <v>91</v>
      </c>
      <c r="C61" s="4" t="s">
        <v>104</v>
      </c>
      <c r="D61" s="4" t="s">
        <v>106</v>
      </c>
      <c r="E61" s="4" t="s">
        <v>115</v>
      </c>
      <c r="F61" s="4" t="s">
        <v>136</v>
      </c>
      <c r="G61" s="4" t="s">
        <v>169</v>
      </c>
      <c r="H61" s="4" t="s">
        <v>36</v>
      </c>
      <c r="I61" s="5">
        <v>-3958</v>
      </c>
    </row>
    <row r="62" spans="1:9">
      <c r="A62" s="4" t="s">
        <v>37</v>
      </c>
      <c r="B62" s="4" t="s">
        <v>92</v>
      </c>
      <c r="C62" s="4" t="s">
        <v>104</v>
      </c>
      <c r="D62" s="4" t="s">
        <v>106</v>
      </c>
      <c r="E62" s="4" t="s">
        <v>122</v>
      </c>
      <c r="F62" s="4" t="s">
        <v>143</v>
      </c>
      <c r="G62" s="4" t="s">
        <v>170</v>
      </c>
      <c r="H62" s="4" t="s">
        <v>37</v>
      </c>
      <c r="I62" s="5">
        <v>-170585</v>
      </c>
    </row>
    <row r="63" spans="1:9">
      <c r="A63" s="4" t="s">
        <v>38</v>
      </c>
      <c r="B63" s="4" t="s">
        <v>93</v>
      </c>
      <c r="C63" s="4" t="s">
        <v>104</v>
      </c>
      <c r="D63" s="4" t="s">
        <v>106</v>
      </c>
      <c r="E63" s="4" t="s">
        <v>123</v>
      </c>
      <c r="F63" s="4" t="s">
        <v>144</v>
      </c>
      <c r="G63" s="4" t="s">
        <v>171</v>
      </c>
      <c r="H63" s="4" t="s">
        <v>38</v>
      </c>
      <c r="I63" s="5">
        <v>-105971</v>
      </c>
    </row>
    <row r="64" spans="1:9">
      <c r="A64" s="4" t="s">
        <v>39</v>
      </c>
      <c r="B64" s="4" t="s">
        <v>94</v>
      </c>
      <c r="C64" s="4" t="s">
        <v>104</v>
      </c>
      <c r="D64" s="4" t="s">
        <v>106</v>
      </c>
      <c r="E64" s="4" t="s">
        <v>124</v>
      </c>
      <c r="F64" s="4" t="s">
        <v>145</v>
      </c>
      <c r="G64" s="4" t="s">
        <v>172</v>
      </c>
      <c r="H64" s="4" t="s">
        <v>39</v>
      </c>
      <c r="I64" s="5">
        <v>-110922</v>
      </c>
    </row>
    <row r="65" spans="1:9">
      <c r="A65" s="4" t="s">
        <v>39</v>
      </c>
      <c r="B65" s="4" t="s">
        <v>95</v>
      </c>
      <c r="C65" s="4" t="s">
        <v>104</v>
      </c>
      <c r="D65" s="4" t="s">
        <v>106</v>
      </c>
      <c r="E65" s="4" t="s">
        <v>124</v>
      </c>
      <c r="F65" s="4" t="s">
        <v>145</v>
      </c>
      <c r="G65" s="4" t="s">
        <v>173</v>
      </c>
      <c r="H65" s="4" t="s">
        <v>39</v>
      </c>
      <c r="I65" s="5">
        <v>-250266</v>
      </c>
    </row>
    <row r="66" spans="1:9">
      <c r="A66" s="4" t="s">
        <v>40</v>
      </c>
      <c r="B66" s="4" t="s">
        <v>96</v>
      </c>
      <c r="C66" s="4" t="s">
        <v>103</v>
      </c>
      <c r="D66" s="4" t="s">
        <v>105</v>
      </c>
      <c r="E66" s="4" t="s">
        <v>116</v>
      </c>
      <c r="F66" s="4" t="s">
        <v>137</v>
      </c>
      <c r="G66" s="4"/>
      <c r="H66" s="4"/>
      <c r="I66" s="5">
        <v>2984408</v>
      </c>
    </row>
    <row r="67" spans="1:9">
      <c r="A67" s="4" t="s">
        <v>41</v>
      </c>
      <c r="B67" s="4" t="s">
        <v>97</v>
      </c>
      <c r="C67" s="4" t="s">
        <v>104</v>
      </c>
      <c r="D67" s="4" t="s">
        <v>106</v>
      </c>
      <c r="E67" s="4" t="s">
        <v>115</v>
      </c>
      <c r="F67" s="4" t="s">
        <v>136</v>
      </c>
      <c r="G67" s="4" t="s">
        <v>174</v>
      </c>
      <c r="H67" s="4" t="s">
        <v>41</v>
      </c>
      <c r="I67" s="5">
        <v>-3964</v>
      </c>
    </row>
    <row r="68" spans="1:9">
      <c r="A68" s="4" t="s">
        <v>42</v>
      </c>
      <c r="B68" s="4" t="s">
        <v>98</v>
      </c>
      <c r="C68" s="4" t="s">
        <v>104</v>
      </c>
      <c r="D68" s="4" t="s">
        <v>106</v>
      </c>
      <c r="E68" s="4" t="s">
        <v>125</v>
      </c>
      <c r="F68" s="4" t="s">
        <v>146</v>
      </c>
      <c r="G68" s="4" t="s">
        <v>175</v>
      </c>
      <c r="H68" s="4" t="s">
        <v>42</v>
      </c>
      <c r="I68" s="5">
        <v>-602982</v>
      </c>
    </row>
    <row r="69" spans="1:9">
      <c r="A69" s="4" t="s">
        <v>42</v>
      </c>
      <c r="B69" s="4" t="s">
        <v>99</v>
      </c>
      <c r="C69" s="4" t="s">
        <v>104</v>
      </c>
      <c r="D69" s="4" t="s">
        <v>106</v>
      </c>
      <c r="E69" s="4" t="s">
        <v>126</v>
      </c>
      <c r="F69" s="4" t="s">
        <v>147</v>
      </c>
      <c r="G69" s="4" t="s">
        <v>176</v>
      </c>
      <c r="H69" s="4" t="s">
        <v>42</v>
      </c>
      <c r="I69" s="5">
        <v>-976990</v>
      </c>
    </row>
    <row r="70" spans="1:9">
      <c r="A70" s="4" t="s">
        <v>42</v>
      </c>
      <c r="B70" s="4" t="s">
        <v>100</v>
      </c>
      <c r="C70" s="4" t="s">
        <v>104</v>
      </c>
      <c r="D70" s="4" t="s">
        <v>106</v>
      </c>
      <c r="E70" s="4" t="s">
        <v>120</v>
      </c>
      <c r="F70" s="4" t="s">
        <v>141</v>
      </c>
      <c r="G70" s="4" t="s">
        <v>177</v>
      </c>
      <c r="H70" s="4" t="s">
        <v>42</v>
      </c>
      <c r="I70" s="5">
        <v>-3642888</v>
      </c>
    </row>
    <row r="71" spans="1:9">
      <c r="A71" s="4" t="s">
        <v>43</v>
      </c>
      <c r="B71" s="4" t="s">
        <v>101</v>
      </c>
      <c r="C71" s="4" t="s">
        <v>104</v>
      </c>
      <c r="D71" s="4" t="s">
        <v>106</v>
      </c>
      <c r="E71" s="4" t="s">
        <v>127</v>
      </c>
      <c r="F71" s="4" t="s">
        <v>148</v>
      </c>
      <c r="G71" s="4" t="s">
        <v>178</v>
      </c>
      <c r="H71" s="4" t="s">
        <v>43</v>
      </c>
      <c r="I71" s="5">
        <v>-143740</v>
      </c>
    </row>
    <row r="72" spans="1:9">
      <c r="A72" s="4" t="s">
        <v>44</v>
      </c>
      <c r="B72" s="4" t="s">
        <v>102</v>
      </c>
      <c r="C72" s="4" t="s">
        <v>103</v>
      </c>
      <c r="D72" s="4" t="s">
        <v>105</v>
      </c>
      <c r="E72" s="4" t="s">
        <v>116</v>
      </c>
      <c r="F72" s="4" t="s">
        <v>137</v>
      </c>
      <c r="G72" s="4"/>
      <c r="H72" s="4"/>
      <c r="I72" s="5">
        <v>-5124497</v>
      </c>
    </row>
    <row r="73" spans="1:9">
      <c r="A73" s="6" t="s">
        <v>199</v>
      </c>
      <c r="B73" s="6"/>
      <c r="C73" s="6"/>
      <c r="D73" s="6"/>
      <c r="E73" s="6"/>
      <c r="F73" s="6"/>
      <c r="G73" s="6"/>
      <c r="H73" s="6"/>
      <c r="I73" s="7">
        <f>SUBTOTAL(9, I7:I72)</f>
        <v>0</v>
      </c>
    </row>
  </sheetData>
  <autoFilter ref="A6:I72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4" width="20.7109375" customWidth="1"/>
  </cols>
  <sheetData>
    <row r="1" spans="1:4">
      <c r="A1" s="1" t="s">
        <v>185</v>
      </c>
      <c r="B1" s="1"/>
      <c r="C1" s="1"/>
      <c r="D1" s="1"/>
    </row>
    <row r="2" spans="1:4">
      <c r="A2" s="2" t="s">
        <v>186</v>
      </c>
      <c r="B2" s="2"/>
      <c r="C2" s="2"/>
      <c r="D2" s="2"/>
    </row>
    <row r="3" spans="1:4">
      <c r="A3" s="2" t="s">
        <v>187</v>
      </c>
      <c r="B3" s="2"/>
      <c r="C3" s="2"/>
      <c r="D3" s="2"/>
    </row>
    <row r="4" spans="1:4">
      <c r="A4" s="2" t="s">
        <v>188</v>
      </c>
      <c r="B4" s="2"/>
      <c r="C4" s="2"/>
      <c r="D4" s="2"/>
    </row>
    <row r="5" spans="1:4">
      <c r="A5" s="2" t="s">
        <v>189</v>
      </c>
      <c r="B5" s="2"/>
      <c r="C5" s="2"/>
      <c r="D5" s="2"/>
    </row>
    <row r="6" spans="1:4">
      <c r="A6" s="3" t="s">
        <v>195</v>
      </c>
      <c r="B6" s="3" t="s">
        <v>200</v>
      </c>
      <c r="C6" s="3" t="s">
        <v>201</v>
      </c>
      <c r="D6" s="3" t="s">
        <v>202</v>
      </c>
    </row>
    <row r="7" spans="1:4">
      <c r="A7" s="4" t="s">
        <v>137</v>
      </c>
      <c r="B7" s="5">
        <v>2382698</v>
      </c>
      <c r="C7" s="5">
        <v>0</v>
      </c>
      <c r="D7" s="5">
        <v>2382698</v>
      </c>
    </row>
    <row r="8" spans="1:4">
      <c r="A8" s="4" t="s">
        <v>128</v>
      </c>
      <c r="B8" s="5">
        <v>970662</v>
      </c>
      <c r="C8" s="5">
        <v>0</v>
      </c>
      <c r="D8" s="5">
        <v>970662</v>
      </c>
    </row>
    <row r="9" spans="1:4">
      <c r="A9" s="4" t="s">
        <v>136</v>
      </c>
      <c r="B9" s="5">
        <v>0</v>
      </c>
      <c r="C9" s="5">
        <v>-19731</v>
      </c>
      <c r="D9" s="5">
        <v>-19731</v>
      </c>
    </row>
    <row r="10" spans="1:4">
      <c r="A10" s="4" t="s">
        <v>129</v>
      </c>
      <c r="B10" s="5">
        <v>23287</v>
      </c>
      <c r="C10" s="5">
        <v>175</v>
      </c>
      <c r="D10" s="5">
        <v>23462</v>
      </c>
    </row>
    <row r="11" spans="1:4">
      <c r="A11" s="4" t="s">
        <v>143</v>
      </c>
      <c r="B11" s="5">
        <v>0</v>
      </c>
      <c r="C11" s="5">
        <v>-170585</v>
      </c>
      <c r="D11" s="5">
        <v>-170585</v>
      </c>
    </row>
    <row r="12" spans="1:4">
      <c r="A12" s="4" t="s">
        <v>134</v>
      </c>
      <c r="B12" s="5">
        <v>0</v>
      </c>
      <c r="C12" s="5">
        <v>-856956</v>
      </c>
      <c r="D12" s="5">
        <v>-856956</v>
      </c>
    </row>
    <row r="13" spans="1:4">
      <c r="A13" s="4" t="s">
        <v>131</v>
      </c>
      <c r="B13" s="5">
        <v>0</v>
      </c>
      <c r="C13" s="5">
        <v>889846</v>
      </c>
      <c r="D13" s="5">
        <v>889846</v>
      </c>
    </row>
    <row r="14" spans="1:4">
      <c r="A14" s="4" t="s">
        <v>140</v>
      </c>
      <c r="B14" s="5">
        <v>0</v>
      </c>
      <c r="C14" s="5">
        <v>-247798</v>
      </c>
      <c r="D14" s="5">
        <v>-247798</v>
      </c>
    </row>
    <row r="15" spans="1:4">
      <c r="A15" s="4" t="s">
        <v>145</v>
      </c>
      <c r="B15" s="5">
        <v>0</v>
      </c>
      <c r="C15" s="5">
        <v>-361188</v>
      </c>
      <c r="D15" s="5">
        <v>-361188</v>
      </c>
    </row>
    <row r="16" spans="1:4">
      <c r="A16" s="4" t="s">
        <v>141</v>
      </c>
      <c r="B16" s="5">
        <v>0</v>
      </c>
      <c r="C16" s="5">
        <v>-7285776</v>
      </c>
      <c r="D16" s="5">
        <v>-7285776</v>
      </c>
    </row>
    <row r="17" spans="1:4">
      <c r="A17" s="4" t="s">
        <v>135</v>
      </c>
      <c r="B17" s="5">
        <v>0</v>
      </c>
      <c r="C17" s="5">
        <v>-170380</v>
      </c>
      <c r="D17" s="5">
        <v>-170380</v>
      </c>
    </row>
    <row r="18" spans="1:4">
      <c r="A18" s="4" t="s">
        <v>148</v>
      </c>
      <c r="B18" s="5">
        <v>0</v>
      </c>
      <c r="C18" s="5">
        <v>-143740</v>
      </c>
      <c r="D18" s="5">
        <v>-143740</v>
      </c>
    </row>
    <row r="19" spans="1:4">
      <c r="A19" s="4" t="s">
        <v>138</v>
      </c>
      <c r="B19" s="5">
        <v>0</v>
      </c>
      <c r="C19" s="5">
        <v>-12000</v>
      </c>
      <c r="D19" s="5">
        <v>-12000</v>
      </c>
    </row>
    <row r="20" spans="1:4">
      <c r="A20" s="4" t="s">
        <v>142</v>
      </c>
      <c r="B20" s="5">
        <v>0</v>
      </c>
      <c r="C20" s="5">
        <v>-729961</v>
      </c>
      <c r="D20" s="5">
        <v>-729961</v>
      </c>
    </row>
    <row r="21" spans="1:4">
      <c r="A21" s="4" t="s">
        <v>144</v>
      </c>
      <c r="B21" s="5">
        <v>0</v>
      </c>
      <c r="C21" s="5">
        <v>-105971</v>
      </c>
      <c r="D21" s="5">
        <v>-105971</v>
      </c>
    </row>
    <row r="22" spans="1:4">
      <c r="A22" s="4" t="s">
        <v>133</v>
      </c>
      <c r="B22" s="5">
        <v>1672200</v>
      </c>
      <c r="C22" s="5">
        <v>0</v>
      </c>
      <c r="D22" s="5">
        <v>1672200</v>
      </c>
    </row>
    <row r="23" spans="1:4">
      <c r="A23" s="4" t="s">
        <v>130</v>
      </c>
      <c r="B23" s="5">
        <v>7184</v>
      </c>
      <c r="C23" s="5">
        <v>0</v>
      </c>
      <c r="D23" s="5">
        <v>7184</v>
      </c>
    </row>
    <row r="24" spans="1:4">
      <c r="A24" s="4" t="s">
        <v>132</v>
      </c>
      <c r="B24" s="5">
        <v>0</v>
      </c>
      <c r="C24" s="5">
        <v>-1300000</v>
      </c>
      <c r="D24" s="5">
        <v>-1300000</v>
      </c>
    </row>
    <row r="25" spans="1:4">
      <c r="A25" s="4" t="s">
        <v>139</v>
      </c>
      <c r="B25" s="5">
        <v>0</v>
      </c>
      <c r="C25" s="5">
        <v>-337200</v>
      </c>
      <c r="D25" s="5">
        <v>-337200</v>
      </c>
    </row>
    <row r="26" spans="1:4">
      <c r="A26" s="4" t="s">
        <v>146</v>
      </c>
      <c r="B26" s="5">
        <v>0</v>
      </c>
      <c r="C26" s="5">
        <v>-602982</v>
      </c>
      <c r="D26" s="5">
        <v>-602982</v>
      </c>
    </row>
    <row r="27" spans="1:4">
      <c r="A27" s="4" t="s">
        <v>147</v>
      </c>
      <c r="B27" s="5">
        <v>0</v>
      </c>
      <c r="C27" s="5">
        <v>-976990</v>
      </c>
      <c r="D27" s="5">
        <v>-976990</v>
      </c>
    </row>
    <row r="28" spans="1:4">
      <c r="A28" s="6" t="s">
        <v>199</v>
      </c>
      <c r="B28" s="7">
        <f>SUBTOTAL(9, B7:B27)</f>
        <v>0</v>
      </c>
      <c r="C28" s="7">
        <f>SUBTOTAL(9, C7:C27)</f>
        <v>0</v>
      </c>
      <c r="D28" s="7">
        <f>SUBTOTAL(9, D7:D27)</f>
        <v>0</v>
      </c>
    </row>
  </sheetData>
  <autoFilter ref="A6:D27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2026-04-28T20:52:56Z</dcterms:created>
  <dcterms:modified xsi:type="dcterms:W3CDTF">2026-04-28T20:52:56Z</dcterms:modified>
</cp:coreProperties>
</file>
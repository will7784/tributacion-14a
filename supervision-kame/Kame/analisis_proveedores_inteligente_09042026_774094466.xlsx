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Kame\"/>
    </mc:Choice>
  </mc:AlternateContent>
  <xr:revisionPtr revIDLastSave="0" documentId="13_ncr:1_{C8566A3D-306E-4191-BCB8-96F99E17E5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le" sheetId="1" r:id="rId1"/>
    <sheet name="pivot" sheetId="2" r:id="rId2"/>
  </sheets>
  <definedNames>
    <definedName name="_xlnm._FilterDatabase" localSheetId="0" hidden="1">detalle!$A$6:$I$107</definedName>
    <definedName name="_xlnm._FilterDatabase" localSheetId="1" hidden="1">pivot!$A$6:$D$42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1" l="1"/>
  <c r="D43" i="2"/>
  <c r="C43" i="2"/>
  <c r="B43" i="2"/>
</calcChain>
</file>

<file path=xl/sharedStrings.xml><?xml version="1.0" encoding="utf-8"?>
<sst xmlns="http://schemas.openxmlformats.org/spreadsheetml/2006/main" count="839" uniqueCount="309">
  <si>
    <t>01/01/2026</t>
  </si>
  <si>
    <t>07/01/2026</t>
  </si>
  <si>
    <t>09/01/2026</t>
  </si>
  <si>
    <t>14/01/2026</t>
  </si>
  <si>
    <t>16/01/2026</t>
  </si>
  <si>
    <t>22/01/2026</t>
  </si>
  <si>
    <t>26/01/2026</t>
  </si>
  <si>
    <t>30/01/2026</t>
  </si>
  <si>
    <t>01/02/2026</t>
  </si>
  <si>
    <t>10/02/2026</t>
  </si>
  <si>
    <t>12/02/2026</t>
  </si>
  <si>
    <t>13/02/2026</t>
  </si>
  <si>
    <t>16/02/2026</t>
  </si>
  <si>
    <t>20/02/2026</t>
  </si>
  <si>
    <t>23/02/2026</t>
  </si>
  <si>
    <t>25/02/2026</t>
  </si>
  <si>
    <t>26/02/2026</t>
  </si>
  <si>
    <t>01/03/2026</t>
  </si>
  <si>
    <t>03/03/2026</t>
  </si>
  <si>
    <t>04/03/2026</t>
  </si>
  <si>
    <t>09/03/2026</t>
  </si>
  <si>
    <t>10/03/2026</t>
  </si>
  <si>
    <t>12/03/2026</t>
  </si>
  <si>
    <t>16/03/2026</t>
  </si>
  <si>
    <t>18/03/2026</t>
  </si>
  <si>
    <t>19/03/2026</t>
  </si>
  <si>
    <t>20/03/2026</t>
  </si>
  <si>
    <t>21/03/2026</t>
  </si>
  <si>
    <t>23/03/2026</t>
  </si>
  <si>
    <t>24/03/2026</t>
  </si>
  <si>
    <t>25/03/2026</t>
  </si>
  <si>
    <t>27/03/2026</t>
  </si>
  <si>
    <t>29/03/2026</t>
  </si>
  <si>
    <t>30/03/2026</t>
  </si>
  <si>
    <t>31/03/2026</t>
  </si>
  <si>
    <t>01/04/2026</t>
  </si>
  <si>
    <t>05/04/2026</t>
  </si>
  <si>
    <t>06/04/2026</t>
  </si>
  <si>
    <t>07/04/2026</t>
  </si>
  <si>
    <t>t3030</t>
  </si>
  <si>
    <t>e3062</t>
  </si>
  <si>
    <t>e3066</t>
  </si>
  <si>
    <t>t3042</t>
  </si>
  <si>
    <t>e3073</t>
  </si>
  <si>
    <t>e3074</t>
  </si>
  <si>
    <t>e3075</t>
  </si>
  <si>
    <t>t3062</t>
  </si>
  <si>
    <t>t3112</t>
  </si>
  <si>
    <t>e3143</t>
  </si>
  <si>
    <t>e3155</t>
  </si>
  <si>
    <t>t3165</t>
  </si>
  <si>
    <t>t3169</t>
  </si>
  <si>
    <t>t3194</t>
  </si>
  <si>
    <t>t3218</t>
  </si>
  <si>
    <t>t3241</t>
  </si>
  <si>
    <t>t3272</t>
  </si>
  <si>
    <t>t3291</t>
  </si>
  <si>
    <t>t3295</t>
  </si>
  <si>
    <t>e3339</t>
  </si>
  <si>
    <t>t3278</t>
  </si>
  <si>
    <t>t3307</t>
  </si>
  <si>
    <t>t3333</t>
  </si>
  <si>
    <t>t3334</t>
  </si>
  <si>
    <t>t3335</t>
  </si>
  <si>
    <t>e3422</t>
  </si>
  <si>
    <t>t3379</t>
  </si>
  <si>
    <t>t3381</t>
  </si>
  <si>
    <t>t3382</t>
  </si>
  <si>
    <t>t3392</t>
  </si>
  <si>
    <t>t3422</t>
  </si>
  <si>
    <t>t3407</t>
  </si>
  <si>
    <t>t3495</t>
  </si>
  <si>
    <t>e3440</t>
  </si>
  <si>
    <t>t3421</t>
  </si>
  <si>
    <t>t3454</t>
  </si>
  <si>
    <t>e3497</t>
  </si>
  <si>
    <t>t3459</t>
  </si>
  <si>
    <t>t3460</t>
  </si>
  <si>
    <t>t3461</t>
  </si>
  <si>
    <t>t3470</t>
  </si>
  <si>
    <t>t3471</t>
  </si>
  <si>
    <t>t3496</t>
  </si>
  <si>
    <t>t3502</t>
  </si>
  <si>
    <t>t3506</t>
  </si>
  <si>
    <t>t3509</t>
  </si>
  <si>
    <t>e3534</t>
  </si>
  <si>
    <t>i3196</t>
  </si>
  <si>
    <t>t3505</t>
  </si>
  <si>
    <t>t3512</t>
  </si>
  <si>
    <t>t3535</t>
  </si>
  <si>
    <t>i3198</t>
  </si>
  <si>
    <t>t3522</t>
  </si>
  <si>
    <t>t3523</t>
  </si>
  <si>
    <t>e3573</t>
  </si>
  <si>
    <t>i3197</t>
  </si>
  <si>
    <t>t3550</t>
  </si>
  <si>
    <t>t3551</t>
  </si>
  <si>
    <t>e3619</t>
  </si>
  <si>
    <t>t3557</t>
  </si>
  <si>
    <t>t3564</t>
  </si>
  <si>
    <t>e3617</t>
  </si>
  <si>
    <t>t3576</t>
  </si>
  <si>
    <t>t3577</t>
  </si>
  <si>
    <t>t3578</t>
  </si>
  <si>
    <t>t3579</t>
  </si>
  <si>
    <t>t3589</t>
  </si>
  <si>
    <t>t3590</t>
  </si>
  <si>
    <t>t3594</t>
  </si>
  <si>
    <t>e3613</t>
  </si>
  <si>
    <t>i3200</t>
  </si>
  <si>
    <t>t3591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</si>
  <si>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</si>
  <si>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</si>
  <si>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</si>
  <si>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</si>
  <si>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</si>
  <si>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</si>
  <si>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</si>
  <si>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</si>
  <si>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</si>
  <si>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</si>
  <si>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</si>
  <si>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</si>
  <si>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</si>
  <si>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</si>
  <si>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</si>
  <si>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</si>
  <si>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</si>
  <si>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</si>
  <si>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</si>
  <si>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</si>
  <si>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</si>
  <si>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</si>
  <si>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1.01.11.01</t>
  </si>
  <si>
    <t>2.01.07.01</t>
  </si>
  <si>
    <t>Anticipo Proveedores</t>
  </si>
  <si>
    <t>Proveedores Nacionales</t>
  </si>
  <si>
    <t>89.396.900-4</t>
  </si>
  <si>
    <t>92.642.000-3</t>
  </si>
  <si>
    <t>77.676.860-K</t>
  </si>
  <si>
    <t>76.364.500-2</t>
  </si>
  <si>
    <t>96.792.430-K</t>
  </si>
  <si>
    <t>76.497.910-9</t>
  </si>
  <si>
    <t>81.201.000-K</t>
  </si>
  <si>
    <t>76.248.620-2</t>
  </si>
  <si>
    <t>77.725.457-K</t>
  </si>
  <si>
    <t>78.984.330-9</t>
  </si>
  <si>
    <t>76.568.660-1</t>
  </si>
  <si>
    <t>19.845.037-5</t>
  </si>
  <si>
    <t>76.297.396-0</t>
  </si>
  <si>
    <t>76.039.194-8</t>
  </si>
  <si>
    <t>76.087.785-9</t>
  </si>
  <si>
    <t>96.711.590-8</t>
  </si>
  <si>
    <t>76.965.710-K</t>
  </si>
  <si>
    <t>76.409.206-6</t>
  </si>
  <si>
    <t>76.820.687-2</t>
  </si>
  <si>
    <t>96.806.980-2</t>
  </si>
  <si>
    <t>77.177.430-K</t>
  </si>
  <si>
    <t>13.889.648-K</t>
  </si>
  <si>
    <t>76.197.101-8</t>
  </si>
  <si>
    <t>77.402.098-5</t>
  </si>
  <si>
    <t>90.146.000-0</t>
  </si>
  <si>
    <t>76.660.180-4</t>
  </si>
  <si>
    <t>76.085.400-K</t>
  </si>
  <si>
    <t>78.547.260-8</t>
  </si>
  <si>
    <t>77.382.142-9</t>
  </si>
  <si>
    <t>13.243.276-7</t>
  </si>
  <si>
    <t>77.898.468-7</t>
  </si>
  <si>
    <t>76.999.599-4</t>
  </si>
  <si>
    <t>76.839.824-0</t>
  </si>
  <si>
    <t>78.401.330-8</t>
  </si>
  <si>
    <t>77.826.792-6</t>
  </si>
  <si>
    <t>10.527.348-7</t>
  </si>
  <si>
    <t>DISTRIBUIDORA TECNICA ELECTRICA VITEL S.A.</t>
  </si>
  <si>
    <t>Artel S.A</t>
  </si>
  <si>
    <t>MANUFACTURAS RAC LIMITADA</t>
  </si>
  <si>
    <t>SOCIEDAD COMERCIAL KOALITION</t>
  </si>
  <si>
    <t>SODIMAC S.A.</t>
  </si>
  <si>
    <t>SGRM SPA</t>
  </si>
  <si>
    <t>CENCOSUD RETAIL S.A.</t>
  </si>
  <si>
    <t>CASA NAVIA S.A.</t>
  </si>
  <si>
    <t>XIYU INTERNACIONAL SPA</t>
  </si>
  <si>
    <t>Sociedad Comercial Rubio y Rubio Limitada</t>
  </si>
  <si>
    <t>EASY RETAIL S.A.</t>
  </si>
  <si>
    <t>BRYAN GIOVANNI REBOLLEDO AGUILA</t>
  </si>
  <si>
    <t>REJILLAS Y DUCTOS FLORES Y COMPANIA LIMITADA</t>
  </si>
  <si>
    <t>SUN RENTAL CHILE SPA</t>
  </si>
  <si>
    <t>TRANSPORTES EMETRA LIMITADA</t>
  </si>
  <si>
    <t>Manantial S.A</t>
  </si>
  <si>
    <t>INVERSIONES CAR MANAGEMENT LIMITADA</t>
  </si>
  <si>
    <t>SOCIEDAD DE TRANSPORTES NACIONALES E INTERNACIONALES SPA</t>
  </si>
  <si>
    <t>INVERSIONES CALADOC WINE &amp; GOURMET SPA</t>
  </si>
  <si>
    <t>Entel PCS Telecomunicaciones S.A.</t>
  </si>
  <si>
    <t>ALIMENTOS SAN MARTIN SPA</t>
  </si>
  <si>
    <t>JUAN MANUEL RIVAS VALENZUELA</t>
  </si>
  <si>
    <t>CBP FINANCIA CAPITAL FACTORING S.A</t>
  </si>
  <si>
    <t>EQUINOX LOS ANDES SPA</t>
  </si>
  <si>
    <t>SERVICIOS FINANCIEROS PROGRESO S A</t>
  </si>
  <si>
    <t>WINPY SPA</t>
  </si>
  <si>
    <t>ELFLE COMERCIAL DOS LTDA</t>
  </si>
  <si>
    <t>DE TOMAS E HIJOS LIMITADA</t>
  </si>
  <si>
    <t>COMERCIALIZADORA CAVAL SPA</t>
  </si>
  <si>
    <t>VICTOR MANUEL MUNOZ PEREZ</t>
  </si>
  <si>
    <t>VEX CHILE VENTILADORES SPA</t>
  </si>
  <si>
    <t>MTC CLIMATIZACIÓN SPA</t>
  </si>
  <si>
    <t>FINANCIA CAPITAL SERVICIOS SPA</t>
  </si>
  <si>
    <t>COMBUSTIBLES Y COM SAN LUIS LTDA</t>
  </si>
  <si>
    <t>CIR TECHNOLOGY SPA</t>
  </si>
  <si>
    <t>SANDRA HERMINIA CAMACHO BARRIOS</t>
  </si>
  <si>
    <t>Factura Electrónica #1138911</t>
  </si>
  <si>
    <t>Factura Electrónica #231463</t>
  </si>
  <si>
    <t>Factura Electrónica #156981</t>
  </si>
  <si>
    <t>Factura Electrónica #142718528</t>
  </si>
  <si>
    <t>Factura Electrónica #144585703</t>
  </si>
  <si>
    <t>Factura Electrónica #5744</t>
  </si>
  <si>
    <t>Factura Electrónica #25953410</t>
  </si>
  <si>
    <t>Factura Electrónica #241043</t>
  </si>
  <si>
    <t>Factura Electrónica #7736</t>
  </si>
  <si>
    <t>Factura Electrónica #992024</t>
  </si>
  <si>
    <t>Factura Electrónica #37178077</t>
  </si>
  <si>
    <t>Factura Electrónica #25940360</t>
  </si>
  <si>
    <t>Factura Electrónica #26138935</t>
  </si>
  <si>
    <t>Factura Electrónica #145375000</t>
  </si>
  <si>
    <t>Factura Electrónica #46</t>
  </si>
  <si>
    <t>Factura Electrónica #4718</t>
  </si>
  <si>
    <t>Factura Electrónica #33287</t>
  </si>
  <si>
    <t>Factura Electrónica #33288</t>
  </si>
  <si>
    <t>Factura Electrónica #33289</t>
  </si>
  <si>
    <t>Factura Electrónica #145345483</t>
  </si>
  <si>
    <t>Factura Electrónica #145345485</t>
  </si>
  <si>
    <t>Factura Electrónica #26219603</t>
  </si>
  <si>
    <t>Factura Electrónica #135180</t>
  </si>
  <si>
    <t>Factura Electrónica #6476253</t>
  </si>
  <si>
    <t>Factura Electrónica #26347453</t>
  </si>
  <si>
    <t>Factura Electrónica #2158</t>
  </si>
  <si>
    <t>Factura Electrónica #1948</t>
  </si>
  <si>
    <t>Factura Electrónica #16477</t>
  </si>
  <si>
    <t>Factura Electrónica #37549172</t>
  </si>
  <si>
    <t>Factura Electrónica #4754</t>
  </si>
  <si>
    <t>Factura Electrónica #53181139</t>
  </si>
  <si>
    <t>Factura Electrónica #33608</t>
  </si>
  <si>
    <t>Factura Electrónica #33609</t>
  </si>
  <si>
    <t>Factura Electrónica #33613</t>
  </si>
  <si>
    <t>Factura Electrónica #146124413</t>
  </si>
  <si>
    <t>Factura Electrónica #4767</t>
  </si>
  <si>
    <t>Factura Electrónica #66918</t>
  </si>
  <si>
    <t>Factura Electrónica #14699</t>
  </si>
  <si>
    <t>Factura Electrónica #124682</t>
  </si>
  <si>
    <t>Factura Electrónica #146138606</t>
  </si>
  <si>
    <t>Factura Electrónica #128910</t>
  </si>
  <si>
    <t>Factura Electrónica #1434857</t>
  </si>
  <si>
    <t>Factura Electrónica #1434865</t>
  </si>
  <si>
    <t>Factura Electrónica #467873</t>
  </si>
  <si>
    <t>Factura Electrónica #37649238</t>
  </si>
  <si>
    <t>Factura Electrónica #118969</t>
  </si>
  <si>
    <t>Factura Electrónica #23837</t>
  </si>
  <si>
    <t>Factura Electrónica #37678420</t>
  </si>
  <si>
    <t>Factura Electrónica #1437707</t>
  </si>
  <si>
    <t>Factura Electrónica #836</t>
  </si>
  <si>
    <t>Factura Electrónica #146301208</t>
  </si>
  <si>
    <t>Factura Electrónica #408691</t>
  </si>
  <si>
    <t>Factura Electrónica #26331587</t>
  </si>
  <si>
    <t>Factura Electrónica #26513710</t>
  </si>
  <si>
    <t>Factura Electrónica #26209800</t>
  </si>
  <si>
    <t>Factura Electrónica #1150</t>
  </si>
  <si>
    <t>Factura Electrónica #115</t>
  </si>
  <si>
    <t>Factura Electrónica #36429712</t>
  </si>
  <si>
    <t>Factura Electrónica #69717</t>
  </si>
  <si>
    <t>Factura Electrónica #37734948</t>
  </si>
  <si>
    <t>Factura Electrónica #545874</t>
  </si>
  <si>
    <t>Factura Electrónica #26536939</t>
  </si>
  <si>
    <t>Factura Electrónica #26420226</t>
  </si>
  <si>
    <t>Factura Electrónica #26486135</t>
  </si>
  <si>
    <t>Factura Electrónica #37730348</t>
  </si>
  <si>
    <t>Factura Electrónica #25855813</t>
  </si>
  <si>
    <t>Factura Electrónica #146422413</t>
  </si>
  <si>
    <t>Factura Electrónica #26579870</t>
  </si>
  <si>
    <t>Factura Electrónica #37825938</t>
  </si>
  <si>
    <t>Factura Electrónica #1990</t>
  </si>
  <si>
    <t>Factura Electrónica #37816235</t>
  </si>
  <si>
    <t>Factura Electrónica #9988</t>
  </si>
  <si>
    <t>17/10/2025</t>
  </si>
  <si>
    <t>30/10/2025</t>
  </si>
  <si>
    <t>09/12/2025</t>
  </si>
  <si>
    <t>21/10/2025</t>
  </si>
  <si>
    <t>11/01/2026</t>
  </si>
  <si>
    <t>28/02/2026</t>
  </si>
  <si>
    <t>02/03/2026</t>
  </si>
  <si>
    <t>REPORTE INTELIGENTE CONTABLE</t>
  </si>
  <si>
    <t>EMPRESA: Servicios Elohim SPA</t>
  </si>
  <si>
    <t>RUT: 77409446-6</t>
  </si>
  <si>
    <t>PERÍODO: 01/01/2026 HASTA 09/04/2026</t>
  </si>
  <si>
    <t>FECHA EMISIÓN: 09-04-2026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</si>
  <si>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</si>
  <si>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</si>
  <si>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</si>
  <si>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</si>
  <si>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</si>
  <si>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</si>
  <si>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</si>
  <si>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</si>
  <si>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</si>
  <si>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</si>
  <si>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1.01.11.01 Anticipo Proveedores</t>
  </si>
  <si>
    <t>2.01.07.01 Proveedores Nacionales</t>
  </si>
  <si>
    <t>TOTAL_REGISTRO</t>
  </si>
  <si>
    <t>OK _regularizado</t>
  </si>
  <si>
    <t>aplicado pago</t>
  </si>
  <si>
    <t>aplicado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</si>
</sst>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zoomScale="130" zoomScaleNormal="130" workbookViewId="0">
      <pane xSplit="4" ySplit="6" topLeftCell="E59" activePane="bottomRight" state="frozen"/>
      <selection pane="topRight" activeCell="E1" sqref="E1"/>
      <selection pane="bottomLeft" activeCell="A7" sqref="A7"/>
      <selection pane="bottomRight" activeCell="A4" sqref="A4:I4"/>
    </sheetView>
  </sheetViews>
  <sheetFormatPr baseColWidth="10" defaultColWidth="9.140625" defaultRowHeight="15" x14ac:dyDescent="0.25"/>
  <cols>
    <col min="1" max="6" width="18.7109375" customWidth="1"/>
    <col min="7" max="7" width="28.42578125" bestFit="1" customWidth="1"/>
    <col min="8" max="9" width="18.7109375" customWidth="1"/>
  </cols>
  <sheetData>
    <row r="1" spans="1:9" ht="18.75" x14ac:dyDescent="0.3">
      <c r="A1" s="6" t="s">
        <v>288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7" t="s">
        <v>289</v>
      </c>
      <c r="B2" s="7"/>
      <c r="C2" s="7"/>
      <c r="D2" s="7"/>
      <c r="E2" s="7"/>
      <c r="F2" s="7"/>
      <c r="G2" s="7"/>
      <c r="H2" s="7"/>
      <c r="I2" s="7"/>
    </row>
    <row r="3" spans="1:9" x14ac:dyDescent="0.25">
      <c r="A3" s="7" t="s">
        <v>290</v>
      </c>
      <c r="B3" s="7"/>
      <c r="C3" s="7"/>
      <c r="D3" s="7"/>
      <c r="E3" s="7"/>
      <c r="F3" s="7"/>
      <c r="G3" s="7"/>
      <c r="H3" s="7"/>
      <c r="I3" s="7"/>
    </row>
    <row r="4" spans="1:9" x14ac:dyDescent="0.25">
      <c r="A4" s="7" t="s">
        <v>291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7" t="s">
        <v>292</v>
      </c>
      <c r="B5" s="7"/>
      <c r="C5" s="7"/>
      <c r="D5" s="7"/>
      <c r="E5" s="7"/>
      <c r="F5" s="7"/>
      <c r="G5" s="7"/>
      <c r="H5" s="7"/>
      <c r="I5" s="7"/>
    </row>
    <row r="6" spans="1:9" x14ac:dyDescent="0.25">
      <c r="A6" s="1" t="s">
        <v>293</v>
      </c>
      <c r="B6" s="1" t="s">
        <v>294</v>
      </c>
      <c r="C6" s="1" t="s">
        <v>295</v>
      </c>
      <c r="D6" s="1" t="s">
        <v>296</v>
      </c>
      <c r="E6" s="1" t="s">
        <v>297</v>
      </c>
      <c r="F6" s="1" t="s">
        <v>298</v>
      </c>
      <c r="G6" s="1" t="s">
        <v>299</v>
      </c>
      <c r="H6" s="1" t="s">
        <v>300</v>
      </c>
      <c r="I6" s="1" t="s">
        <v>301</v>
      </c>
    </row>
    <row r="7" spans="1:9" x14ac:dyDescent="0.25">
      <c r="A7" s="2" t="s">
        <v>0</v>
      </c>
      <c r="B7" s="2" t="s">
        <v>39</v>
      </c>
      <c r="C7" s="2" t="s">
        <v>133</v>
      </c>
      <c r="D7" s="2" t="s">
        <v>135</v>
      </c>
      <c r="E7" s="2" t="s">
        <v>137</v>
      </c>
      <c r="F7" s="2" t="s">
        <v>173</v>
      </c>
      <c r="G7" s="2"/>
      <c r="H7" s="2"/>
      <c r="I7" s="3">
        <v>28548</v>
      </c>
    </row>
    <row r="8" spans="1:9" x14ac:dyDescent="0.25">
      <c r="A8" s="2" t="s">
        <v>0</v>
      </c>
      <c r="B8" s="2" t="s">
        <v>39</v>
      </c>
      <c r="C8" s="2" t="s">
        <v>134</v>
      </c>
      <c r="D8" s="2" t="s">
        <v>136</v>
      </c>
      <c r="E8" s="2" t="s">
        <v>138</v>
      </c>
      <c r="F8" s="2" t="s">
        <v>174</v>
      </c>
      <c r="G8" s="2" t="s">
        <v>209</v>
      </c>
      <c r="H8" s="2" t="s">
        <v>281</v>
      </c>
      <c r="I8" s="3">
        <v>-35950</v>
      </c>
    </row>
    <row r="9" spans="1:9" x14ac:dyDescent="0.25">
      <c r="A9" s="2" t="s">
        <v>0</v>
      </c>
      <c r="B9" s="2" t="s">
        <v>39</v>
      </c>
      <c r="C9" s="2" t="s">
        <v>134</v>
      </c>
      <c r="D9" s="2" t="s">
        <v>136</v>
      </c>
      <c r="E9" s="2" t="s">
        <v>139</v>
      </c>
      <c r="F9" s="2" t="s">
        <v>175</v>
      </c>
      <c r="G9" s="2" t="s">
        <v>210</v>
      </c>
      <c r="H9" s="2" t="s">
        <v>282</v>
      </c>
      <c r="I9" s="3">
        <v>-72578</v>
      </c>
    </row>
    <row r="10" spans="1:9" x14ac:dyDescent="0.25">
      <c r="A10" s="2" t="s">
        <v>0</v>
      </c>
      <c r="B10" s="2" t="s">
        <v>39</v>
      </c>
      <c r="C10" s="2" t="s">
        <v>134</v>
      </c>
      <c r="D10" s="2" t="s">
        <v>136</v>
      </c>
      <c r="E10" s="2" t="s">
        <v>140</v>
      </c>
      <c r="F10" s="2" t="s">
        <v>176</v>
      </c>
      <c r="G10" s="2" t="s">
        <v>211</v>
      </c>
      <c r="H10" s="2" t="s">
        <v>283</v>
      </c>
      <c r="I10" s="3">
        <v>136672</v>
      </c>
    </row>
    <row r="11" spans="1:9" x14ac:dyDescent="0.25">
      <c r="A11" s="2" t="s">
        <v>0</v>
      </c>
      <c r="B11" s="2" t="s">
        <v>39</v>
      </c>
      <c r="C11" s="2" t="s">
        <v>134</v>
      </c>
      <c r="D11" s="2" t="s">
        <v>136</v>
      </c>
      <c r="E11" s="2" t="s">
        <v>141</v>
      </c>
      <c r="F11" s="2" t="s">
        <v>177</v>
      </c>
      <c r="G11" s="2" t="s">
        <v>212</v>
      </c>
      <c r="H11" s="2" t="s">
        <v>284</v>
      </c>
      <c r="I11" s="3">
        <v>-62678</v>
      </c>
    </row>
    <row r="12" spans="1:9" x14ac:dyDescent="0.25">
      <c r="A12" s="2" t="s">
        <v>1</v>
      </c>
      <c r="B12" s="2" t="s">
        <v>40</v>
      </c>
      <c r="C12" s="2" t="s">
        <v>133</v>
      </c>
      <c r="D12" s="2" t="s">
        <v>135</v>
      </c>
      <c r="E12" s="2" t="s">
        <v>137</v>
      </c>
      <c r="F12" s="2" t="s">
        <v>173</v>
      </c>
      <c r="G12" s="2"/>
      <c r="H12" s="2"/>
      <c r="I12" s="3">
        <v>370189</v>
      </c>
    </row>
    <row r="13" spans="1:9" x14ac:dyDescent="0.25">
      <c r="A13" s="2" t="s">
        <v>1</v>
      </c>
      <c r="B13" s="2" t="s">
        <v>40</v>
      </c>
      <c r="C13" s="2" t="s">
        <v>133</v>
      </c>
      <c r="D13" s="2" t="s">
        <v>135</v>
      </c>
      <c r="E13" s="2" t="s">
        <v>137</v>
      </c>
      <c r="F13" s="2" t="s">
        <v>173</v>
      </c>
      <c r="G13" s="2"/>
      <c r="H13" s="8"/>
      <c r="I13" s="3">
        <v>1309163</v>
      </c>
    </row>
    <row r="14" spans="1:9" x14ac:dyDescent="0.25">
      <c r="A14" s="2" t="s">
        <v>1</v>
      </c>
      <c r="B14" s="2" t="s">
        <v>41</v>
      </c>
      <c r="C14" s="2" t="s">
        <v>133</v>
      </c>
      <c r="D14" s="2" t="s">
        <v>135</v>
      </c>
      <c r="E14" s="2" t="s">
        <v>137</v>
      </c>
      <c r="F14" s="2" t="s">
        <v>173</v>
      </c>
      <c r="G14" s="2"/>
      <c r="H14" s="8"/>
      <c r="I14" s="3">
        <v>-1309163</v>
      </c>
    </row>
    <row r="15" spans="1:9" x14ac:dyDescent="0.25">
      <c r="A15" s="2" t="s">
        <v>1</v>
      </c>
      <c r="B15" s="2" t="s">
        <v>42</v>
      </c>
      <c r="C15" s="2" t="s">
        <v>134</v>
      </c>
      <c r="D15" s="2" t="s">
        <v>136</v>
      </c>
      <c r="E15" s="2" t="s">
        <v>141</v>
      </c>
      <c r="F15" s="2" t="s">
        <v>177</v>
      </c>
      <c r="G15" s="2" t="s">
        <v>213</v>
      </c>
      <c r="H15" s="2" t="s">
        <v>1</v>
      </c>
      <c r="I15" s="3">
        <v>-47300</v>
      </c>
    </row>
    <row r="16" spans="1:9" x14ac:dyDescent="0.25">
      <c r="A16" s="2" t="s">
        <v>2</v>
      </c>
      <c r="B16" s="2" t="s">
        <v>43</v>
      </c>
      <c r="C16" s="2" t="s">
        <v>133</v>
      </c>
      <c r="D16" s="2" t="s">
        <v>135</v>
      </c>
      <c r="E16" s="2" t="s">
        <v>137</v>
      </c>
      <c r="F16" s="2" t="s">
        <v>173</v>
      </c>
      <c r="G16" s="2"/>
      <c r="H16" s="2"/>
      <c r="I16" s="3">
        <v>98651</v>
      </c>
    </row>
    <row r="17" spans="1:9" x14ac:dyDescent="0.25">
      <c r="A17" s="2" t="s">
        <v>2</v>
      </c>
      <c r="B17" s="2" t="s">
        <v>44</v>
      </c>
      <c r="C17" s="2" t="s">
        <v>133</v>
      </c>
      <c r="D17" s="2" t="s">
        <v>135</v>
      </c>
      <c r="E17" s="2" t="s">
        <v>137</v>
      </c>
      <c r="F17" s="2" t="s">
        <v>173</v>
      </c>
      <c r="G17" s="2"/>
      <c r="H17" s="2"/>
      <c r="I17" s="3">
        <v>-33629</v>
      </c>
    </row>
    <row r="18" spans="1:9" x14ac:dyDescent="0.25">
      <c r="A18" s="2" t="s">
        <v>2</v>
      </c>
      <c r="B18" s="2" t="s">
        <v>45</v>
      </c>
      <c r="C18" s="2" t="s">
        <v>133</v>
      </c>
      <c r="D18" s="2" t="s">
        <v>135</v>
      </c>
      <c r="E18" s="2" t="s">
        <v>137</v>
      </c>
      <c r="F18" s="2" t="s">
        <v>173</v>
      </c>
      <c r="G18" s="2"/>
      <c r="H18" s="2"/>
      <c r="I18" s="3">
        <v>-354879</v>
      </c>
    </row>
    <row r="19" spans="1:9" x14ac:dyDescent="0.25">
      <c r="A19" s="2" t="s">
        <v>2</v>
      </c>
      <c r="B19" s="2" t="s">
        <v>46</v>
      </c>
      <c r="C19" s="2" t="s">
        <v>134</v>
      </c>
      <c r="D19" s="2" t="s">
        <v>136</v>
      </c>
      <c r="E19" s="2" t="s">
        <v>142</v>
      </c>
      <c r="F19" s="2" t="s">
        <v>178</v>
      </c>
      <c r="G19" s="2" t="s">
        <v>214</v>
      </c>
      <c r="H19" s="2" t="s">
        <v>2</v>
      </c>
      <c r="I19" s="3">
        <v>-29160</v>
      </c>
    </row>
    <row r="20" spans="1:9" x14ac:dyDescent="0.25">
      <c r="A20" s="2" t="s">
        <v>3</v>
      </c>
      <c r="B20" s="2" t="s">
        <v>47</v>
      </c>
      <c r="C20" s="2" t="s">
        <v>134</v>
      </c>
      <c r="D20" s="2" t="s">
        <v>136</v>
      </c>
      <c r="E20" s="2" t="s">
        <v>143</v>
      </c>
      <c r="F20" s="2" t="s">
        <v>179</v>
      </c>
      <c r="G20" s="2" t="s">
        <v>215</v>
      </c>
      <c r="H20" s="2" t="s">
        <v>3</v>
      </c>
      <c r="I20" s="3">
        <v>-3000</v>
      </c>
    </row>
    <row r="21" spans="1:9" x14ac:dyDescent="0.25">
      <c r="A21" s="2" t="s">
        <v>4</v>
      </c>
      <c r="B21" s="2" t="s">
        <v>48</v>
      </c>
      <c r="C21" s="2" t="s">
        <v>133</v>
      </c>
      <c r="D21" s="2" t="s">
        <v>135</v>
      </c>
      <c r="E21" s="2" t="s">
        <v>137</v>
      </c>
      <c r="F21" s="2" t="s">
        <v>173</v>
      </c>
      <c r="G21" s="2"/>
      <c r="H21" s="8"/>
      <c r="I21" s="3">
        <v>147034</v>
      </c>
    </row>
    <row r="22" spans="1:9" x14ac:dyDescent="0.25">
      <c r="A22" s="2" t="s">
        <v>4</v>
      </c>
      <c r="B22" s="2" t="s">
        <v>49</v>
      </c>
      <c r="C22" s="2" t="s">
        <v>133</v>
      </c>
      <c r="D22" s="2" t="s">
        <v>135</v>
      </c>
      <c r="E22" s="2" t="s">
        <v>137</v>
      </c>
      <c r="F22" s="2" t="s">
        <v>173</v>
      </c>
      <c r="G22" s="2"/>
      <c r="H22" s="8"/>
      <c r="I22" s="3">
        <v>-147034</v>
      </c>
    </row>
    <row r="23" spans="1:9" x14ac:dyDescent="0.25">
      <c r="A23" s="2" t="s">
        <v>5</v>
      </c>
      <c r="B23" s="2" t="s">
        <v>50</v>
      </c>
      <c r="C23" s="2" t="s">
        <v>134</v>
      </c>
      <c r="D23" s="2" t="s">
        <v>136</v>
      </c>
      <c r="E23" s="2" t="s">
        <v>144</v>
      </c>
      <c r="F23" s="2" t="s">
        <v>180</v>
      </c>
      <c r="G23" s="2" t="s">
        <v>216</v>
      </c>
      <c r="H23" s="2" t="s">
        <v>5</v>
      </c>
      <c r="I23" s="3">
        <v>-10045</v>
      </c>
    </row>
    <row r="24" spans="1:9" x14ac:dyDescent="0.25">
      <c r="A24" s="2" t="s">
        <v>5</v>
      </c>
      <c r="B24" s="2" t="s">
        <v>51</v>
      </c>
      <c r="C24" s="2" t="s">
        <v>134</v>
      </c>
      <c r="D24" s="2" t="s">
        <v>136</v>
      </c>
      <c r="E24" s="2" t="s">
        <v>145</v>
      </c>
      <c r="F24" s="2" t="s">
        <v>181</v>
      </c>
      <c r="G24" s="2" t="s">
        <v>217</v>
      </c>
      <c r="H24" s="2" t="s">
        <v>5</v>
      </c>
      <c r="I24" s="3">
        <v>-59970</v>
      </c>
    </row>
    <row r="25" spans="1:9" x14ac:dyDescent="0.25">
      <c r="A25" s="2" t="s">
        <v>6</v>
      </c>
      <c r="B25" s="2" t="s">
        <v>52</v>
      </c>
      <c r="C25" s="2" t="s">
        <v>134</v>
      </c>
      <c r="D25" s="2" t="s">
        <v>136</v>
      </c>
      <c r="E25" s="2" t="s">
        <v>146</v>
      </c>
      <c r="F25" s="2" t="s">
        <v>182</v>
      </c>
      <c r="G25" s="2" t="s">
        <v>218</v>
      </c>
      <c r="H25" s="2" t="s">
        <v>6</v>
      </c>
      <c r="I25" s="3">
        <v>77886</v>
      </c>
    </row>
    <row r="26" spans="1:9" x14ac:dyDescent="0.25">
      <c r="A26" s="2" t="s">
        <v>7</v>
      </c>
      <c r="B26" s="2" t="s">
        <v>53</v>
      </c>
      <c r="C26" s="2" t="s">
        <v>134</v>
      </c>
      <c r="D26" s="2" t="s">
        <v>136</v>
      </c>
      <c r="E26" s="2" t="s">
        <v>147</v>
      </c>
      <c r="F26" s="2" t="s">
        <v>183</v>
      </c>
      <c r="G26" s="2" t="s">
        <v>219</v>
      </c>
      <c r="H26" s="2" t="s">
        <v>7</v>
      </c>
      <c r="I26" s="3">
        <v>-20560</v>
      </c>
    </row>
    <row r="27" spans="1:9" x14ac:dyDescent="0.25">
      <c r="A27" s="2" t="s">
        <v>8</v>
      </c>
      <c r="B27" s="2" t="s">
        <v>54</v>
      </c>
      <c r="C27" s="2" t="s">
        <v>134</v>
      </c>
      <c r="D27" s="2" t="s">
        <v>136</v>
      </c>
      <c r="E27" s="2" t="s">
        <v>143</v>
      </c>
      <c r="F27" s="2" t="s">
        <v>179</v>
      </c>
      <c r="G27" s="2" t="s">
        <v>220</v>
      </c>
      <c r="H27" s="2" t="s">
        <v>285</v>
      </c>
      <c r="I27" s="3">
        <v>-54335</v>
      </c>
    </row>
    <row r="28" spans="1:9" x14ac:dyDescent="0.25">
      <c r="A28" s="2" t="s">
        <v>9</v>
      </c>
      <c r="B28" s="2" t="s">
        <v>55</v>
      </c>
      <c r="C28" s="2" t="s">
        <v>134</v>
      </c>
      <c r="D28" s="2" t="s">
        <v>136</v>
      </c>
      <c r="E28" s="2" t="s">
        <v>143</v>
      </c>
      <c r="F28" s="2" t="s">
        <v>179</v>
      </c>
      <c r="G28" s="2" t="s">
        <v>221</v>
      </c>
      <c r="H28" s="2" t="s">
        <v>9</v>
      </c>
      <c r="I28" s="3">
        <v>-5995</v>
      </c>
    </row>
    <row r="29" spans="1:9" x14ac:dyDescent="0.25">
      <c r="A29" s="2" t="s">
        <v>10</v>
      </c>
      <c r="B29" s="2" t="s">
        <v>56</v>
      </c>
      <c r="C29" s="2" t="s">
        <v>134</v>
      </c>
      <c r="D29" s="2" t="s">
        <v>136</v>
      </c>
      <c r="E29" s="2" t="s">
        <v>141</v>
      </c>
      <c r="F29" s="2" t="s">
        <v>177</v>
      </c>
      <c r="G29" s="2" t="s">
        <v>222</v>
      </c>
      <c r="H29" s="2" t="s">
        <v>10</v>
      </c>
      <c r="I29" s="3">
        <v>-9269</v>
      </c>
    </row>
    <row r="30" spans="1:9" x14ac:dyDescent="0.25">
      <c r="A30" s="2" t="s">
        <v>11</v>
      </c>
      <c r="B30" s="2" t="s">
        <v>57</v>
      </c>
      <c r="C30" s="2" t="s">
        <v>134</v>
      </c>
      <c r="D30" s="2" t="s">
        <v>136</v>
      </c>
      <c r="E30" s="2" t="s">
        <v>148</v>
      </c>
      <c r="F30" s="2" t="s">
        <v>184</v>
      </c>
      <c r="G30" s="2" t="s">
        <v>223</v>
      </c>
      <c r="H30" s="2" t="s">
        <v>11</v>
      </c>
      <c r="I30" s="3">
        <v>-1035300</v>
      </c>
    </row>
    <row r="31" spans="1:9" x14ac:dyDescent="0.25">
      <c r="A31" s="2" t="s">
        <v>12</v>
      </c>
      <c r="B31" s="2" t="s">
        <v>58</v>
      </c>
      <c r="C31" s="2" t="s">
        <v>134</v>
      </c>
      <c r="D31" s="2" t="s">
        <v>136</v>
      </c>
      <c r="E31" s="2" t="s">
        <v>148</v>
      </c>
      <c r="F31" s="2" t="s">
        <v>184</v>
      </c>
      <c r="G31" s="2" t="s">
        <v>223</v>
      </c>
      <c r="H31" s="2" t="s">
        <v>11</v>
      </c>
      <c r="I31" s="3">
        <v>1000000</v>
      </c>
    </row>
    <row r="32" spans="1:9" x14ac:dyDescent="0.25">
      <c r="A32" s="2" t="s">
        <v>12</v>
      </c>
      <c r="B32" s="2" t="s">
        <v>59</v>
      </c>
      <c r="C32" s="2" t="s">
        <v>134</v>
      </c>
      <c r="D32" s="2" t="s">
        <v>136</v>
      </c>
      <c r="E32" s="2" t="s">
        <v>149</v>
      </c>
      <c r="F32" s="2" t="s">
        <v>185</v>
      </c>
      <c r="G32" s="2" t="s">
        <v>224</v>
      </c>
      <c r="H32" s="2" t="s">
        <v>12</v>
      </c>
      <c r="I32" s="3">
        <v>351050</v>
      </c>
    </row>
    <row r="33" spans="1:9" x14ac:dyDescent="0.25">
      <c r="A33" s="2" t="s">
        <v>12</v>
      </c>
      <c r="B33" s="2" t="s">
        <v>60</v>
      </c>
      <c r="C33" s="2" t="s">
        <v>134</v>
      </c>
      <c r="D33" s="2" t="s">
        <v>136</v>
      </c>
      <c r="E33" s="2" t="s">
        <v>149</v>
      </c>
      <c r="F33" s="2" t="s">
        <v>185</v>
      </c>
      <c r="G33" s="2" t="s">
        <v>224</v>
      </c>
      <c r="H33" s="2" t="s">
        <v>12</v>
      </c>
      <c r="I33" s="3">
        <v>-3037475</v>
      </c>
    </row>
    <row r="34" spans="1:9" x14ac:dyDescent="0.25">
      <c r="A34" s="2" t="s">
        <v>13</v>
      </c>
      <c r="B34" s="2" t="s">
        <v>61</v>
      </c>
      <c r="C34" s="2" t="s">
        <v>134</v>
      </c>
      <c r="D34" s="2" t="s">
        <v>136</v>
      </c>
      <c r="E34" s="2" t="s">
        <v>150</v>
      </c>
      <c r="F34" s="2" t="s">
        <v>186</v>
      </c>
      <c r="G34" s="2" t="s">
        <v>225</v>
      </c>
      <c r="H34" s="2" t="s">
        <v>13</v>
      </c>
      <c r="I34" s="3">
        <v>-773500</v>
      </c>
    </row>
    <row r="35" spans="1:9" x14ac:dyDescent="0.25">
      <c r="A35" s="2" t="s">
        <v>13</v>
      </c>
      <c r="B35" s="2" t="s">
        <v>62</v>
      </c>
      <c r="C35" s="2" t="s">
        <v>134</v>
      </c>
      <c r="D35" s="2" t="s">
        <v>136</v>
      </c>
      <c r="E35" s="2" t="s">
        <v>150</v>
      </c>
      <c r="F35" s="2" t="s">
        <v>186</v>
      </c>
      <c r="G35" s="2" t="s">
        <v>226</v>
      </c>
      <c r="H35" s="2" t="s">
        <v>13</v>
      </c>
      <c r="I35" s="3">
        <v>-773500</v>
      </c>
    </row>
    <row r="36" spans="1:9" x14ac:dyDescent="0.25">
      <c r="A36" s="2" t="s">
        <v>13</v>
      </c>
      <c r="B36" s="2" t="s">
        <v>63</v>
      </c>
      <c r="C36" s="2" t="s">
        <v>134</v>
      </c>
      <c r="D36" s="2" t="s">
        <v>136</v>
      </c>
      <c r="E36" s="2" t="s">
        <v>150</v>
      </c>
      <c r="F36" s="2" t="s">
        <v>186</v>
      </c>
      <c r="G36" s="2" t="s">
        <v>227</v>
      </c>
      <c r="H36" s="2" t="s">
        <v>13</v>
      </c>
      <c r="I36" s="3">
        <v>-773500</v>
      </c>
    </row>
    <row r="37" spans="1:9" x14ac:dyDescent="0.25">
      <c r="A37" s="2" t="s">
        <v>14</v>
      </c>
      <c r="B37" s="2" t="s">
        <v>64</v>
      </c>
      <c r="C37" s="2" t="s">
        <v>133</v>
      </c>
      <c r="D37" s="2" t="s">
        <v>135</v>
      </c>
      <c r="E37" s="2" t="s">
        <v>151</v>
      </c>
      <c r="F37" s="2" t="s">
        <v>187</v>
      </c>
      <c r="G37" s="2"/>
      <c r="H37" s="2"/>
      <c r="I37" s="3">
        <v>856399</v>
      </c>
    </row>
    <row r="38" spans="1:9" x14ac:dyDescent="0.25">
      <c r="A38" s="2" t="s">
        <v>15</v>
      </c>
      <c r="B38" s="2" t="s">
        <v>65</v>
      </c>
      <c r="C38" s="2" t="s">
        <v>134</v>
      </c>
      <c r="D38" s="2" t="s">
        <v>136</v>
      </c>
      <c r="E38" s="2" t="s">
        <v>141</v>
      </c>
      <c r="F38" s="2" t="s">
        <v>177</v>
      </c>
      <c r="G38" s="2" t="s">
        <v>228</v>
      </c>
      <c r="H38" s="2" t="s">
        <v>15</v>
      </c>
      <c r="I38" s="3">
        <v>-14844</v>
      </c>
    </row>
    <row r="39" spans="1:9" x14ac:dyDescent="0.25">
      <c r="A39" s="2" t="s">
        <v>16</v>
      </c>
      <c r="B39" s="2" t="s">
        <v>66</v>
      </c>
      <c r="C39" s="2" t="s">
        <v>134</v>
      </c>
      <c r="D39" s="2" t="s">
        <v>136</v>
      </c>
      <c r="E39" s="2" t="s">
        <v>141</v>
      </c>
      <c r="F39" s="2" t="s">
        <v>177</v>
      </c>
      <c r="G39" s="2" t="s">
        <v>229</v>
      </c>
      <c r="H39" s="2" t="s">
        <v>16</v>
      </c>
      <c r="I39" s="3">
        <v>-57168</v>
      </c>
    </row>
    <row r="40" spans="1:9" x14ac:dyDescent="0.25">
      <c r="A40" s="2" t="s">
        <v>16</v>
      </c>
      <c r="B40" s="2" t="s">
        <v>67</v>
      </c>
      <c r="C40" s="2" t="s">
        <v>134</v>
      </c>
      <c r="D40" s="2" t="s">
        <v>136</v>
      </c>
      <c r="E40" s="2" t="s">
        <v>143</v>
      </c>
      <c r="F40" s="2" t="s">
        <v>179</v>
      </c>
      <c r="G40" s="2" t="s">
        <v>230</v>
      </c>
      <c r="H40" s="2" t="s">
        <v>16</v>
      </c>
      <c r="I40" s="3">
        <v>-5920</v>
      </c>
    </row>
    <row r="41" spans="1:9" x14ac:dyDescent="0.25">
      <c r="A41" s="2" t="s">
        <v>17</v>
      </c>
      <c r="B41" s="2" t="s">
        <v>68</v>
      </c>
      <c r="C41" s="2" t="s">
        <v>134</v>
      </c>
      <c r="D41" s="2" t="s">
        <v>136</v>
      </c>
      <c r="E41" s="2" t="s">
        <v>151</v>
      </c>
      <c r="F41" s="2" t="s">
        <v>187</v>
      </c>
      <c r="G41" s="2" t="s">
        <v>231</v>
      </c>
      <c r="H41" s="2" t="s">
        <v>14</v>
      </c>
      <c r="I41" s="3">
        <v>-856399</v>
      </c>
    </row>
    <row r="42" spans="1:9" x14ac:dyDescent="0.25">
      <c r="A42" s="2" t="s">
        <v>17</v>
      </c>
      <c r="B42" s="2" t="s">
        <v>69</v>
      </c>
      <c r="C42" s="2" t="s">
        <v>134</v>
      </c>
      <c r="D42" s="2" t="s">
        <v>136</v>
      </c>
      <c r="E42" s="2" t="s">
        <v>152</v>
      </c>
      <c r="F42" s="2" t="s">
        <v>188</v>
      </c>
      <c r="G42" s="2" t="s">
        <v>232</v>
      </c>
      <c r="H42" s="2" t="s">
        <v>286</v>
      </c>
      <c r="I42" s="3">
        <v>-21193</v>
      </c>
    </row>
    <row r="43" spans="1:9" x14ac:dyDescent="0.25">
      <c r="A43" s="2" t="s">
        <v>18</v>
      </c>
      <c r="B43" s="2" t="s">
        <v>70</v>
      </c>
      <c r="C43" s="2" t="s">
        <v>134</v>
      </c>
      <c r="D43" s="2" t="s">
        <v>136</v>
      </c>
      <c r="E43" s="2" t="s">
        <v>143</v>
      </c>
      <c r="F43" s="2" t="s">
        <v>179</v>
      </c>
      <c r="G43" s="2" t="s">
        <v>233</v>
      </c>
      <c r="H43" s="2" t="s">
        <v>18</v>
      </c>
      <c r="I43" s="3">
        <v>-317387</v>
      </c>
    </row>
    <row r="44" spans="1:9" x14ac:dyDescent="0.25">
      <c r="A44" s="2" t="s">
        <v>18</v>
      </c>
      <c r="B44" s="2" t="s">
        <v>71</v>
      </c>
      <c r="C44" s="2" t="s">
        <v>134</v>
      </c>
      <c r="D44" s="2" t="s">
        <v>136</v>
      </c>
      <c r="E44" s="2" t="s">
        <v>153</v>
      </c>
      <c r="F44" s="2" t="s">
        <v>189</v>
      </c>
      <c r="G44" s="2" t="s">
        <v>234</v>
      </c>
      <c r="H44" s="2" t="s">
        <v>18</v>
      </c>
      <c r="I44" s="3">
        <v>-59900</v>
      </c>
    </row>
    <row r="45" spans="1:9" x14ac:dyDescent="0.25">
      <c r="A45" s="2" t="s">
        <v>19</v>
      </c>
      <c r="B45" s="2" t="s">
        <v>72</v>
      </c>
      <c r="C45" s="2" t="s">
        <v>134</v>
      </c>
      <c r="D45" s="2" t="s">
        <v>136</v>
      </c>
      <c r="E45" s="2" t="s">
        <v>143</v>
      </c>
      <c r="F45" s="2" t="s">
        <v>179</v>
      </c>
      <c r="G45" s="2" t="s">
        <v>233</v>
      </c>
      <c r="H45" s="2" t="s">
        <v>18</v>
      </c>
      <c r="I45" s="3">
        <v>317386</v>
      </c>
    </row>
    <row r="46" spans="1:9" x14ac:dyDescent="0.25">
      <c r="A46" s="2" t="s">
        <v>19</v>
      </c>
      <c r="B46" s="2" t="s">
        <v>73</v>
      </c>
      <c r="C46" s="2" t="s">
        <v>134</v>
      </c>
      <c r="D46" s="2" t="s">
        <v>136</v>
      </c>
      <c r="E46" s="2" t="s">
        <v>154</v>
      </c>
      <c r="F46" s="2" t="s">
        <v>190</v>
      </c>
      <c r="G46" s="2" t="s">
        <v>235</v>
      </c>
      <c r="H46" s="2" t="s">
        <v>19</v>
      </c>
      <c r="I46" s="3">
        <v>-452200</v>
      </c>
    </row>
    <row r="47" spans="1:9" x14ac:dyDescent="0.25">
      <c r="A47" s="2" t="s">
        <v>20</v>
      </c>
      <c r="B47" s="2" t="s">
        <v>74</v>
      </c>
      <c r="C47" s="2" t="s">
        <v>134</v>
      </c>
      <c r="D47" s="2" t="s">
        <v>136</v>
      </c>
      <c r="E47" s="2" t="s">
        <v>155</v>
      </c>
      <c r="F47" s="2" t="s">
        <v>191</v>
      </c>
      <c r="G47" s="2" t="s">
        <v>236</v>
      </c>
      <c r="H47" s="2" t="s">
        <v>20</v>
      </c>
      <c r="I47" s="3">
        <v>-105501</v>
      </c>
    </row>
    <row r="48" spans="1:9" x14ac:dyDescent="0.25">
      <c r="A48" s="2" t="s">
        <v>21</v>
      </c>
      <c r="B48" s="2" t="s">
        <v>75</v>
      </c>
      <c r="C48" s="2" t="s">
        <v>134</v>
      </c>
      <c r="D48" s="2" t="s">
        <v>136</v>
      </c>
      <c r="E48" s="2" t="s">
        <v>155</v>
      </c>
      <c r="F48" s="2" t="s">
        <v>191</v>
      </c>
      <c r="G48" s="2" t="s">
        <v>236</v>
      </c>
      <c r="H48" s="2" t="s">
        <v>20</v>
      </c>
      <c r="I48" s="3">
        <v>105500</v>
      </c>
    </row>
    <row r="49" spans="1:9" x14ac:dyDescent="0.25">
      <c r="A49" s="2" t="s">
        <v>21</v>
      </c>
      <c r="B49" s="2" t="s">
        <v>76</v>
      </c>
      <c r="C49" s="2" t="s">
        <v>134</v>
      </c>
      <c r="D49" s="2" t="s">
        <v>136</v>
      </c>
      <c r="E49" s="2" t="s">
        <v>147</v>
      </c>
      <c r="F49" s="2" t="s">
        <v>183</v>
      </c>
      <c r="G49" s="2" t="s">
        <v>237</v>
      </c>
      <c r="H49" s="2" t="s">
        <v>21</v>
      </c>
      <c r="I49" s="3">
        <v>-8480</v>
      </c>
    </row>
    <row r="50" spans="1:9" x14ac:dyDescent="0.25">
      <c r="A50" s="2" t="s">
        <v>21</v>
      </c>
      <c r="B50" s="2" t="s">
        <v>77</v>
      </c>
      <c r="C50" s="2" t="s">
        <v>134</v>
      </c>
      <c r="D50" s="2" t="s">
        <v>136</v>
      </c>
      <c r="E50" s="2" t="s">
        <v>149</v>
      </c>
      <c r="F50" s="2" t="s">
        <v>185</v>
      </c>
      <c r="G50" s="2" t="s">
        <v>238</v>
      </c>
      <c r="H50" s="2" t="s">
        <v>21</v>
      </c>
      <c r="I50" s="3">
        <v>-2609075</v>
      </c>
    </row>
    <row r="51" spans="1:9" x14ac:dyDescent="0.25">
      <c r="A51" s="2" t="s">
        <v>21</v>
      </c>
      <c r="B51" s="2" t="s">
        <v>78</v>
      </c>
      <c r="C51" s="2" t="s">
        <v>134</v>
      </c>
      <c r="D51" s="2" t="s">
        <v>136</v>
      </c>
      <c r="E51" s="2" t="s">
        <v>156</v>
      </c>
      <c r="F51" s="2" t="s">
        <v>192</v>
      </c>
      <c r="G51" s="2" t="s">
        <v>239</v>
      </c>
      <c r="H51" s="2" t="s">
        <v>21</v>
      </c>
      <c r="I51" s="3">
        <v>-159450</v>
      </c>
    </row>
    <row r="52" spans="1:9" x14ac:dyDescent="0.25">
      <c r="A52" s="2" t="s">
        <v>22</v>
      </c>
      <c r="B52" s="2" t="s">
        <v>79</v>
      </c>
      <c r="C52" s="2" t="s">
        <v>134</v>
      </c>
      <c r="D52" s="2" t="s">
        <v>136</v>
      </c>
      <c r="E52" s="2" t="s">
        <v>150</v>
      </c>
      <c r="F52" s="2" t="s">
        <v>186</v>
      </c>
      <c r="G52" s="2" t="s">
        <v>240</v>
      </c>
      <c r="H52" s="2" t="s">
        <v>22</v>
      </c>
      <c r="I52" s="3">
        <v>-773500</v>
      </c>
    </row>
    <row r="53" spans="1:9" x14ac:dyDescent="0.25">
      <c r="A53" s="2" t="s">
        <v>22</v>
      </c>
      <c r="B53" s="2" t="s">
        <v>80</v>
      </c>
      <c r="C53" s="2" t="s">
        <v>134</v>
      </c>
      <c r="D53" s="2" t="s">
        <v>136</v>
      </c>
      <c r="E53" s="2" t="s">
        <v>150</v>
      </c>
      <c r="F53" s="2" t="s">
        <v>186</v>
      </c>
      <c r="G53" s="2" t="s">
        <v>241</v>
      </c>
      <c r="H53" s="2" t="s">
        <v>22</v>
      </c>
      <c r="I53" s="3">
        <v>-773500</v>
      </c>
    </row>
    <row r="54" spans="1:9" x14ac:dyDescent="0.25">
      <c r="A54" s="2" t="s">
        <v>23</v>
      </c>
      <c r="B54" s="2" t="s">
        <v>81</v>
      </c>
      <c r="C54" s="2" t="s">
        <v>134</v>
      </c>
      <c r="D54" s="2" t="s">
        <v>136</v>
      </c>
      <c r="E54" s="2" t="s">
        <v>150</v>
      </c>
      <c r="F54" s="2" t="s">
        <v>186</v>
      </c>
      <c r="G54" s="2" t="s">
        <v>242</v>
      </c>
      <c r="H54" s="2" t="s">
        <v>23</v>
      </c>
      <c r="I54" s="3">
        <v>-714000</v>
      </c>
    </row>
    <row r="55" spans="1:9" x14ac:dyDescent="0.25">
      <c r="A55" s="2" t="s">
        <v>24</v>
      </c>
      <c r="B55" s="2" t="s">
        <v>82</v>
      </c>
      <c r="C55" s="2" t="s">
        <v>134</v>
      </c>
      <c r="D55" s="2" t="s">
        <v>136</v>
      </c>
      <c r="E55" s="2" t="s">
        <v>141</v>
      </c>
      <c r="F55" s="2" t="s">
        <v>177</v>
      </c>
      <c r="G55" s="2" t="s">
        <v>243</v>
      </c>
      <c r="H55" s="2" t="s">
        <v>24</v>
      </c>
      <c r="I55" s="3">
        <v>-6129</v>
      </c>
    </row>
    <row r="56" spans="1:9" x14ac:dyDescent="0.25">
      <c r="A56" s="2" t="s">
        <v>24</v>
      </c>
      <c r="B56" s="2" t="s">
        <v>83</v>
      </c>
      <c r="C56" s="2" t="s">
        <v>134</v>
      </c>
      <c r="D56" s="2" t="s">
        <v>136</v>
      </c>
      <c r="E56" s="2" t="s">
        <v>149</v>
      </c>
      <c r="F56" s="2" t="s">
        <v>185</v>
      </c>
      <c r="G56" s="2" t="s">
        <v>244</v>
      </c>
      <c r="H56" s="2" t="s">
        <v>24</v>
      </c>
      <c r="I56" s="3">
        <v>-1660050</v>
      </c>
    </row>
    <row r="57" spans="1:9" x14ac:dyDescent="0.25">
      <c r="A57" s="2" t="s">
        <v>25</v>
      </c>
      <c r="B57" s="2" t="s">
        <v>84</v>
      </c>
      <c r="C57" s="2" t="s">
        <v>134</v>
      </c>
      <c r="D57" s="2" t="s">
        <v>136</v>
      </c>
      <c r="E57" s="2" t="s">
        <v>157</v>
      </c>
      <c r="F57" s="2" t="s">
        <v>193</v>
      </c>
      <c r="G57" s="2" t="s">
        <v>245</v>
      </c>
      <c r="H57" s="2" t="s">
        <v>25</v>
      </c>
      <c r="I57" s="3">
        <v>-251400</v>
      </c>
    </row>
    <row r="58" spans="1:9" x14ac:dyDescent="0.25">
      <c r="A58" s="2" t="s">
        <v>26</v>
      </c>
      <c r="B58" s="2" t="s">
        <v>85</v>
      </c>
      <c r="C58" s="2" t="s">
        <v>134</v>
      </c>
      <c r="D58" s="2" t="s">
        <v>136</v>
      </c>
      <c r="E58" s="2" t="s">
        <v>158</v>
      </c>
      <c r="F58" s="2" t="s">
        <v>194</v>
      </c>
      <c r="G58" s="2" t="s">
        <v>246</v>
      </c>
      <c r="H58" s="2" t="s">
        <v>26</v>
      </c>
      <c r="I58" s="3">
        <v>91200</v>
      </c>
    </row>
    <row r="59" spans="1:9" x14ac:dyDescent="0.25">
      <c r="A59" s="2" t="s">
        <v>26</v>
      </c>
      <c r="B59" s="2" t="s">
        <v>86</v>
      </c>
      <c r="C59" s="2" t="s">
        <v>133</v>
      </c>
      <c r="D59" s="2" t="s">
        <v>135</v>
      </c>
      <c r="E59" s="2" t="s">
        <v>159</v>
      </c>
      <c r="F59" s="2" t="s">
        <v>195</v>
      </c>
      <c r="G59" s="2"/>
      <c r="H59" s="2"/>
      <c r="I59" s="3">
        <v>83300</v>
      </c>
    </row>
    <row r="60" spans="1:9" x14ac:dyDescent="0.25">
      <c r="A60" s="2" t="s">
        <v>26</v>
      </c>
      <c r="B60" s="2" t="s">
        <v>87</v>
      </c>
      <c r="C60" s="2" t="s">
        <v>134</v>
      </c>
      <c r="D60" s="2" t="s">
        <v>136</v>
      </c>
      <c r="E60" s="2" t="s">
        <v>158</v>
      </c>
      <c r="F60" s="2" t="s">
        <v>194</v>
      </c>
      <c r="G60" s="2" t="s">
        <v>246</v>
      </c>
      <c r="H60" s="2" t="s">
        <v>26</v>
      </c>
      <c r="I60" s="3">
        <v>87400</v>
      </c>
    </row>
    <row r="61" spans="1:9" x14ac:dyDescent="0.25">
      <c r="A61" s="2" t="s">
        <v>26</v>
      </c>
      <c r="B61" s="2" t="s">
        <v>88</v>
      </c>
      <c r="C61" s="2" t="s">
        <v>134</v>
      </c>
      <c r="D61" s="2" t="s">
        <v>136</v>
      </c>
      <c r="E61" s="2" t="s">
        <v>158</v>
      </c>
      <c r="F61" s="2" t="s">
        <v>194</v>
      </c>
      <c r="G61" s="2" t="s">
        <v>246</v>
      </c>
      <c r="H61" s="2" t="s">
        <v>26</v>
      </c>
      <c r="I61" s="3">
        <v>-91200</v>
      </c>
    </row>
    <row r="62" spans="1:9" x14ac:dyDescent="0.25">
      <c r="A62" s="2" t="s">
        <v>27</v>
      </c>
      <c r="B62" s="2" t="s">
        <v>89</v>
      </c>
      <c r="C62" s="2" t="s">
        <v>134</v>
      </c>
      <c r="D62" s="2" t="s">
        <v>136</v>
      </c>
      <c r="E62" s="2" t="s">
        <v>160</v>
      </c>
      <c r="F62" s="2" t="s">
        <v>196</v>
      </c>
      <c r="G62" s="2" t="s">
        <v>247</v>
      </c>
      <c r="H62" s="2" t="s">
        <v>27</v>
      </c>
      <c r="I62" s="3">
        <v>-226180</v>
      </c>
    </row>
    <row r="63" spans="1:9" x14ac:dyDescent="0.25">
      <c r="A63" s="2" t="s">
        <v>28</v>
      </c>
      <c r="B63" s="2" t="s">
        <v>90</v>
      </c>
      <c r="C63" s="2" t="s">
        <v>133</v>
      </c>
      <c r="D63" s="2" t="s">
        <v>135</v>
      </c>
      <c r="E63" s="2" t="s">
        <v>161</v>
      </c>
      <c r="F63" s="2" t="s">
        <v>197</v>
      </c>
      <c r="G63" s="2"/>
      <c r="H63" s="2"/>
      <c r="I63" s="3">
        <v>47600</v>
      </c>
    </row>
    <row r="64" spans="1:9" x14ac:dyDescent="0.25">
      <c r="A64" s="2" t="s">
        <v>28</v>
      </c>
      <c r="B64" s="2" t="s">
        <v>91</v>
      </c>
      <c r="C64" s="2" t="s">
        <v>134</v>
      </c>
      <c r="D64" s="2" t="s">
        <v>136</v>
      </c>
      <c r="E64" s="2" t="s">
        <v>141</v>
      </c>
      <c r="F64" s="2" t="s">
        <v>177</v>
      </c>
      <c r="G64" s="2" t="s">
        <v>248</v>
      </c>
      <c r="H64" s="2" t="s">
        <v>28</v>
      </c>
      <c r="I64" s="3">
        <v>-11555</v>
      </c>
    </row>
    <row r="65" spans="1:9" x14ac:dyDescent="0.25">
      <c r="A65" s="2" t="s">
        <v>28</v>
      </c>
      <c r="B65" s="2" t="s">
        <v>92</v>
      </c>
      <c r="C65" s="2" t="s">
        <v>134</v>
      </c>
      <c r="D65" s="2" t="s">
        <v>136</v>
      </c>
      <c r="E65" s="2" t="s">
        <v>162</v>
      </c>
      <c r="F65" s="2" t="s">
        <v>198</v>
      </c>
      <c r="G65" s="2" t="s">
        <v>249</v>
      </c>
      <c r="H65" s="2" t="s">
        <v>28</v>
      </c>
      <c r="I65" s="3">
        <v>-362190</v>
      </c>
    </row>
    <row r="66" spans="1:9" x14ac:dyDescent="0.25">
      <c r="A66" s="2" t="s">
        <v>29</v>
      </c>
      <c r="B66" s="2" t="s">
        <v>93</v>
      </c>
      <c r="C66" s="2" t="s">
        <v>133</v>
      </c>
      <c r="D66" s="2" t="s">
        <v>135</v>
      </c>
      <c r="E66" s="2" t="s">
        <v>137</v>
      </c>
      <c r="F66" s="2" t="s">
        <v>173</v>
      </c>
      <c r="G66" s="2"/>
      <c r="H66" s="8"/>
      <c r="I66" s="3">
        <v>2687329</v>
      </c>
    </row>
    <row r="67" spans="1:9" x14ac:dyDescent="0.25">
      <c r="A67" s="2" t="s">
        <v>29</v>
      </c>
      <c r="B67" s="2" t="s">
        <v>94</v>
      </c>
      <c r="C67" s="2" t="s">
        <v>133</v>
      </c>
      <c r="D67" s="2" t="s">
        <v>135</v>
      </c>
      <c r="E67" s="2" t="s">
        <v>161</v>
      </c>
      <c r="F67" s="2" t="s">
        <v>197</v>
      </c>
      <c r="G67" s="2"/>
      <c r="H67" s="2"/>
      <c r="I67" s="3">
        <v>49891</v>
      </c>
    </row>
    <row r="68" spans="1:9" x14ac:dyDescent="0.25">
      <c r="A68" s="2" t="s">
        <v>30</v>
      </c>
      <c r="B68" s="2" t="s">
        <v>95</v>
      </c>
      <c r="C68" s="2" t="s">
        <v>134</v>
      </c>
      <c r="D68" s="2" t="s">
        <v>136</v>
      </c>
      <c r="E68" s="2" t="s">
        <v>137</v>
      </c>
      <c r="F68" s="2" t="s">
        <v>173</v>
      </c>
      <c r="G68" s="2" t="s">
        <v>250</v>
      </c>
      <c r="H68" s="8" t="s">
        <v>30</v>
      </c>
      <c r="I68" s="3">
        <v>-115136</v>
      </c>
    </row>
    <row r="69" spans="1:9" x14ac:dyDescent="0.25">
      <c r="A69" s="2" t="s">
        <v>30</v>
      </c>
      <c r="B69" s="2" t="s">
        <v>96</v>
      </c>
      <c r="C69" s="2" t="s">
        <v>134</v>
      </c>
      <c r="D69" s="2" t="s">
        <v>136</v>
      </c>
      <c r="E69" s="2" t="s">
        <v>137</v>
      </c>
      <c r="F69" s="2" t="s">
        <v>173</v>
      </c>
      <c r="G69" s="2" t="s">
        <v>251</v>
      </c>
      <c r="H69" s="8" t="s">
        <v>30</v>
      </c>
      <c r="I69" s="3">
        <v>-2572193</v>
      </c>
    </row>
    <row r="70" spans="1:9" x14ac:dyDescent="0.25">
      <c r="A70" s="2" t="s">
        <v>31</v>
      </c>
      <c r="B70" s="2" t="s">
        <v>97</v>
      </c>
      <c r="C70" s="2" t="s">
        <v>133</v>
      </c>
      <c r="D70" s="2" t="s">
        <v>135</v>
      </c>
      <c r="E70" s="2" t="s">
        <v>163</v>
      </c>
      <c r="F70" s="2" t="s">
        <v>199</v>
      </c>
      <c r="G70" s="2"/>
      <c r="H70" s="2"/>
      <c r="I70" s="3">
        <v>976514</v>
      </c>
    </row>
    <row r="71" spans="1:9" x14ac:dyDescent="0.25">
      <c r="A71" s="2" t="s">
        <v>31</v>
      </c>
      <c r="B71" s="2" t="s">
        <v>98</v>
      </c>
      <c r="C71" s="2" t="s">
        <v>134</v>
      </c>
      <c r="D71" s="2" t="s">
        <v>136</v>
      </c>
      <c r="E71" s="2" t="s">
        <v>163</v>
      </c>
      <c r="F71" s="2" t="s">
        <v>199</v>
      </c>
      <c r="G71" s="2" t="s">
        <v>252</v>
      </c>
      <c r="H71" s="2" t="s">
        <v>31</v>
      </c>
      <c r="I71" s="3">
        <v>-898926</v>
      </c>
    </row>
    <row r="72" spans="1:9" x14ac:dyDescent="0.25">
      <c r="A72" s="2" t="s">
        <v>32</v>
      </c>
      <c r="B72" s="2" t="s">
        <v>99</v>
      </c>
      <c r="C72" s="2" t="s">
        <v>134</v>
      </c>
      <c r="D72" s="2" t="s">
        <v>136</v>
      </c>
      <c r="E72" s="2" t="s">
        <v>147</v>
      </c>
      <c r="F72" s="2" t="s">
        <v>183</v>
      </c>
      <c r="G72" s="2" t="s">
        <v>253</v>
      </c>
      <c r="H72" s="2" t="s">
        <v>32</v>
      </c>
      <c r="I72" s="3">
        <v>-251920</v>
      </c>
    </row>
    <row r="73" spans="1:9" x14ac:dyDescent="0.25">
      <c r="A73" s="2" t="s">
        <v>33</v>
      </c>
      <c r="B73" s="2" t="s">
        <v>100</v>
      </c>
      <c r="C73" s="2" t="s">
        <v>133</v>
      </c>
      <c r="D73" s="2" t="s">
        <v>135</v>
      </c>
      <c r="E73" s="2" t="s">
        <v>137</v>
      </c>
      <c r="F73" s="2" t="s">
        <v>173</v>
      </c>
      <c r="G73" s="2"/>
      <c r="H73" s="8"/>
      <c r="I73" s="3">
        <v>-2687329</v>
      </c>
    </row>
    <row r="74" spans="1:9" x14ac:dyDescent="0.25">
      <c r="A74" s="2" t="s">
        <v>33</v>
      </c>
      <c r="B74" s="2" t="s">
        <v>100</v>
      </c>
      <c r="C74" s="2" t="s">
        <v>134</v>
      </c>
      <c r="D74" s="2" t="s">
        <v>136</v>
      </c>
      <c r="E74" s="2" t="s">
        <v>137</v>
      </c>
      <c r="F74" s="2" t="s">
        <v>173</v>
      </c>
      <c r="G74" s="2" t="s">
        <v>250</v>
      </c>
      <c r="H74" s="8" t="s">
        <v>30</v>
      </c>
      <c r="I74" s="3">
        <v>115136</v>
      </c>
    </row>
    <row r="75" spans="1:9" x14ac:dyDescent="0.25">
      <c r="A75" s="2" t="s">
        <v>33</v>
      </c>
      <c r="B75" s="2" t="s">
        <v>100</v>
      </c>
      <c r="C75" s="2" t="s">
        <v>134</v>
      </c>
      <c r="D75" s="2" t="s">
        <v>136</v>
      </c>
      <c r="E75" s="2" t="s">
        <v>137</v>
      </c>
      <c r="F75" s="2" t="s">
        <v>173</v>
      </c>
      <c r="G75" s="2" t="s">
        <v>251</v>
      </c>
      <c r="H75" s="8" t="s">
        <v>30</v>
      </c>
      <c r="I75" s="3">
        <v>2572193</v>
      </c>
    </row>
    <row r="76" spans="1:9" x14ac:dyDescent="0.25">
      <c r="A76" s="2" t="s">
        <v>33</v>
      </c>
      <c r="B76" s="2" t="s">
        <v>101</v>
      </c>
      <c r="C76" s="2" t="s">
        <v>134</v>
      </c>
      <c r="D76" s="2" t="s">
        <v>136</v>
      </c>
      <c r="E76" s="2" t="s">
        <v>147</v>
      </c>
      <c r="F76" s="2" t="s">
        <v>183</v>
      </c>
      <c r="G76" s="2" t="s">
        <v>253</v>
      </c>
      <c r="H76" s="2" t="s">
        <v>33</v>
      </c>
      <c r="I76" s="3">
        <v>157450</v>
      </c>
    </row>
    <row r="77" spans="1:9" x14ac:dyDescent="0.25">
      <c r="A77" s="2" t="s">
        <v>33</v>
      </c>
      <c r="B77" s="2" t="s">
        <v>102</v>
      </c>
      <c r="C77" s="2" t="s">
        <v>134</v>
      </c>
      <c r="D77" s="2" t="s">
        <v>136</v>
      </c>
      <c r="E77" s="2" t="s">
        <v>164</v>
      </c>
      <c r="F77" s="2" t="s">
        <v>200</v>
      </c>
      <c r="G77" s="2" t="s">
        <v>254</v>
      </c>
      <c r="H77" s="2" t="s">
        <v>33</v>
      </c>
      <c r="I77" s="3">
        <v>-7560</v>
      </c>
    </row>
    <row r="78" spans="1:9" x14ac:dyDescent="0.25">
      <c r="A78" s="2" t="s">
        <v>33</v>
      </c>
      <c r="B78" s="2" t="s">
        <v>103</v>
      </c>
      <c r="C78" s="2" t="s">
        <v>134</v>
      </c>
      <c r="D78" s="2" t="s">
        <v>136</v>
      </c>
      <c r="E78" s="2" t="s">
        <v>165</v>
      </c>
      <c r="F78" s="2" t="s">
        <v>201</v>
      </c>
      <c r="G78" s="2" t="s">
        <v>255</v>
      </c>
      <c r="H78" s="2" t="s">
        <v>33</v>
      </c>
      <c r="I78" s="3">
        <v>-15613</v>
      </c>
    </row>
    <row r="79" spans="1:9" x14ac:dyDescent="0.25">
      <c r="A79" s="2" t="s">
        <v>33</v>
      </c>
      <c r="B79" s="2" t="s">
        <v>104</v>
      </c>
      <c r="C79" s="2" t="s">
        <v>134</v>
      </c>
      <c r="D79" s="2" t="s">
        <v>136</v>
      </c>
      <c r="E79" s="2" t="s">
        <v>147</v>
      </c>
      <c r="F79" s="2" t="s">
        <v>183</v>
      </c>
      <c r="G79" s="2" t="s">
        <v>256</v>
      </c>
      <c r="H79" s="2" t="s">
        <v>33</v>
      </c>
      <c r="I79" s="3">
        <v>-157450</v>
      </c>
    </row>
    <row r="80" spans="1:9" x14ac:dyDescent="0.25">
      <c r="A80" s="2" t="s">
        <v>33</v>
      </c>
      <c r="B80" s="2" t="s">
        <v>105</v>
      </c>
      <c r="C80" s="2" t="s">
        <v>134</v>
      </c>
      <c r="D80" s="2" t="s">
        <v>136</v>
      </c>
      <c r="E80" s="2" t="s">
        <v>137</v>
      </c>
      <c r="F80" s="2" t="s">
        <v>173</v>
      </c>
      <c r="G80" s="2" t="s">
        <v>250</v>
      </c>
      <c r="H80" s="2" t="s">
        <v>33</v>
      </c>
      <c r="I80" s="3">
        <v>53286</v>
      </c>
    </row>
    <row r="81" spans="1:9" x14ac:dyDescent="0.25">
      <c r="A81" s="2" t="s">
        <v>33</v>
      </c>
      <c r="B81" s="2" t="s">
        <v>106</v>
      </c>
      <c r="C81" s="2" t="s">
        <v>134</v>
      </c>
      <c r="D81" s="2" t="s">
        <v>136</v>
      </c>
      <c r="E81" s="2" t="s">
        <v>137</v>
      </c>
      <c r="F81" s="2" t="s">
        <v>173</v>
      </c>
      <c r="G81" s="2" t="s">
        <v>251</v>
      </c>
      <c r="H81" s="2" t="s">
        <v>33</v>
      </c>
      <c r="I81" s="3">
        <v>93886</v>
      </c>
    </row>
    <row r="82" spans="1:9" x14ac:dyDescent="0.25">
      <c r="A82" s="2" t="s">
        <v>33</v>
      </c>
      <c r="B82" s="2" t="s">
        <v>107</v>
      </c>
      <c r="C82" s="2" t="s">
        <v>134</v>
      </c>
      <c r="D82" s="2" t="s">
        <v>136</v>
      </c>
      <c r="E82" s="2" t="s">
        <v>137</v>
      </c>
      <c r="F82" s="2" t="s">
        <v>173</v>
      </c>
      <c r="G82" s="2" t="s">
        <v>257</v>
      </c>
      <c r="H82" s="2" t="s">
        <v>33</v>
      </c>
      <c r="I82" s="3">
        <v>-104682</v>
      </c>
    </row>
    <row r="83" spans="1:9" x14ac:dyDescent="0.25">
      <c r="A83" s="2" t="s">
        <v>34</v>
      </c>
      <c r="B83" s="2" t="s">
        <v>108</v>
      </c>
      <c r="C83" s="2" t="s">
        <v>134</v>
      </c>
      <c r="D83" s="2" t="s">
        <v>136</v>
      </c>
      <c r="E83" s="2" t="s">
        <v>147</v>
      </c>
      <c r="F83" s="2" t="s">
        <v>183</v>
      </c>
      <c r="G83" s="2" t="s">
        <v>253</v>
      </c>
      <c r="H83" s="2" t="s">
        <v>32</v>
      </c>
      <c r="I83" s="3">
        <v>251920</v>
      </c>
    </row>
    <row r="84" spans="1:9" x14ac:dyDescent="0.25">
      <c r="A84" s="2" t="s">
        <v>34</v>
      </c>
      <c r="B84" s="2" t="s">
        <v>109</v>
      </c>
      <c r="C84" s="2" t="s">
        <v>133</v>
      </c>
      <c r="D84" s="2" t="s">
        <v>135</v>
      </c>
      <c r="E84" s="2" t="s">
        <v>161</v>
      </c>
      <c r="F84" s="2" t="s">
        <v>197</v>
      </c>
      <c r="G84" s="2"/>
      <c r="H84" s="2"/>
      <c r="I84" s="3">
        <v>89656</v>
      </c>
    </row>
    <row r="85" spans="1:9" x14ac:dyDescent="0.25">
      <c r="A85" s="2" t="s">
        <v>34</v>
      </c>
      <c r="B85" s="2" t="s">
        <v>110</v>
      </c>
      <c r="C85" s="2" t="s">
        <v>134</v>
      </c>
      <c r="D85" s="2" t="s">
        <v>136</v>
      </c>
      <c r="E85" s="2" t="s">
        <v>166</v>
      </c>
      <c r="F85" s="2" t="s">
        <v>202</v>
      </c>
      <c r="G85" s="2" t="s">
        <v>258</v>
      </c>
      <c r="H85" s="2" t="s">
        <v>34</v>
      </c>
      <c r="I85" s="3">
        <v>-119000</v>
      </c>
    </row>
    <row r="86" spans="1:9" x14ac:dyDescent="0.25">
      <c r="A86" s="2" t="s">
        <v>34</v>
      </c>
      <c r="B86" s="2" t="s">
        <v>111</v>
      </c>
      <c r="C86" s="2" t="s">
        <v>134</v>
      </c>
      <c r="D86" s="2" t="s">
        <v>136</v>
      </c>
      <c r="E86" s="2" t="s">
        <v>141</v>
      </c>
      <c r="F86" s="2" t="s">
        <v>177</v>
      </c>
      <c r="G86" s="2" t="s">
        <v>259</v>
      </c>
      <c r="H86" s="2" t="s">
        <v>34</v>
      </c>
      <c r="I86" s="3">
        <v>-7333</v>
      </c>
    </row>
    <row r="87" spans="1:9" x14ac:dyDescent="0.25">
      <c r="A87" s="2" t="s">
        <v>35</v>
      </c>
      <c r="B87" s="2" t="s">
        <v>112</v>
      </c>
      <c r="C87" s="2" t="s">
        <v>134</v>
      </c>
      <c r="D87" s="2" t="s">
        <v>136</v>
      </c>
      <c r="E87" s="2" t="s">
        <v>161</v>
      </c>
      <c r="F87" s="2" t="s">
        <v>197</v>
      </c>
      <c r="G87" s="2" t="s">
        <v>260</v>
      </c>
      <c r="H87" s="2" t="s">
        <v>34</v>
      </c>
      <c r="I87" s="3">
        <v>-89656</v>
      </c>
    </row>
    <row r="88" spans="1:9" x14ac:dyDescent="0.25">
      <c r="A88" s="2" t="s">
        <v>35</v>
      </c>
      <c r="B88" s="2" t="s">
        <v>113</v>
      </c>
      <c r="C88" s="2" t="s">
        <v>134</v>
      </c>
      <c r="D88" s="2" t="s">
        <v>136</v>
      </c>
      <c r="E88" s="2" t="s">
        <v>143</v>
      </c>
      <c r="F88" s="2" t="s">
        <v>179</v>
      </c>
      <c r="G88" s="2" t="s">
        <v>261</v>
      </c>
      <c r="H88" s="2" t="s">
        <v>287</v>
      </c>
      <c r="I88" s="3">
        <v>-3940</v>
      </c>
    </row>
    <row r="89" spans="1:9" x14ac:dyDescent="0.25">
      <c r="A89" s="2" t="s">
        <v>35</v>
      </c>
      <c r="B89" s="2" t="s">
        <v>114</v>
      </c>
      <c r="C89" s="2" t="s">
        <v>134</v>
      </c>
      <c r="D89" s="2" t="s">
        <v>136</v>
      </c>
      <c r="E89" s="2" t="s">
        <v>143</v>
      </c>
      <c r="F89" s="2" t="s">
        <v>179</v>
      </c>
      <c r="G89" s="2" t="s">
        <v>262</v>
      </c>
      <c r="H89" s="2" t="s">
        <v>33</v>
      </c>
      <c r="I89" s="3">
        <v>-1990</v>
      </c>
    </row>
    <row r="90" spans="1:9" x14ac:dyDescent="0.25">
      <c r="A90" s="2" t="s">
        <v>35</v>
      </c>
      <c r="B90" s="2" t="s">
        <v>115</v>
      </c>
      <c r="C90" s="2" t="s">
        <v>134</v>
      </c>
      <c r="D90" s="2" t="s">
        <v>136</v>
      </c>
      <c r="E90" s="2" t="s">
        <v>143</v>
      </c>
      <c r="F90" s="2" t="s">
        <v>179</v>
      </c>
      <c r="G90" s="2" t="s">
        <v>263</v>
      </c>
      <c r="H90" s="2" t="s">
        <v>33</v>
      </c>
      <c r="I90" s="3">
        <v>-13980</v>
      </c>
    </row>
    <row r="91" spans="1:9" x14ac:dyDescent="0.25">
      <c r="A91" s="2" t="s">
        <v>35</v>
      </c>
      <c r="B91" s="2" t="s">
        <v>116</v>
      </c>
      <c r="C91" s="2" t="s">
        <v>134</v>
      </c>
      <c r="D91" s="2" t="s">
        <v>136</v>
      </c>
      <c r="E91" s="2" t="s">
        <v>167</v>
      </c>
      <c r="F91" s="2" t="s">
        <v>203</v>
      </c>
      <c r="G91" s="2" t="s">
        <v>264</v>
      </c>
      <c r="H91" s="2" t="s">
        <v>35</v>
      </c>
      <c r="I91" s="3">
        <v>-597000</v>
      </c>
    </row>
    <row r="92" spans="1:9" x14ac:dyDescent="0.25">
      <c r="A92" s="2" t="s">
        <v>35</v>
      </c>
      <c r="B92" s="2" t="s">
        <v>117</v>
      </c>
      <c r="C92" s="2" t="s">
        <v>134</v>
      </c>
      <c r="D92" s="2" t="s">
        <v>136</v>
      </c>
      <c r="E92" s="2" t="s">
        <v>168</v>
      </c>
      <c r="F92" s="2" t="s">
        <v>204</v>
      </c>
      <c r="G92" s="2" t="s">
        <v>265</v>
      </c>
      <c r="H92" s="2" t="s">
        <v>35</v>
      </c>
      <c r="I92" s="3">
        <v>-1740114</v>
      </c>
    </row>
    <row r="93" spans="1:9" x14ac:dyDescent="0.25">
      <c r="A93" s="2" t="s">
        <v>35</v>
      </c>
      <c r="B93" s="2" t="s">
        <v>118</v>
      </c>
      <c r="C93" s="2" t="s">
        <v>134</v>
      </c>
      <c r="D93" s="2" t="s">
        <v>136</v>
      </c>
      <c r="E93" s="2" t="s">
        <v>147</v>
      </c>
      <c r="F93" s="2" t="s">
        <v>183</v>
      </c>
      <c r="G93" s="2" t="s">
        <v>266</v>
      </c>
      <c r="H93" s="2" t="s">
        <v>35</v>
      </c>
      <c r="I93" s="3">
        <v>-27960</v>
      </c>
    </row>
    <row r="94" spans="1:9" x14ac:dyDescent="0.25">
      <c r="A94" s="2" t="s">
        <v>35</v>
      </c>
      <c r="B94" s="2" t="s">
        <v>119</v>
      </c>
      <c r="C94" s="2" t="s">
        <v>134</v>
      </c>
      <c r="D94" s="2" t="s">
        <v>136</v>
      </c>
      <c r="E94" s="2" t="s">
        <v>169</v>
      </c>
      <c r="F94" s="2" t="s">
        <v>205</v>
      </c>
      <c r="G94" s="2" t="s">
        <v>267</v>
      </c>
      <c r="H94" s="2" t="s">
        <v>34</v>
      </c>
      <c r="I94" s="3">
        <v>-83300</v>
      </c>
    </row>
    <row r="95" spans="1:9" x14ac:dyDescent="0.25">
      <c r="A95" s="2" t="s">
        <v>35</v>
      </c>
      <c r="B95" s="2" t="s">
        <v>120</v>
      </c>
      <c r="C95" s="2" t="s">
        <v>134</v>
      </c>
      <c r="D95" s="2" t="s">
        <v>136</v>
      </c>
      <c r="E95" s="2" t="s">
        <v>147</v>
      </c>
      <c r="F95" s="2" t="s">
        <v>183</v>
      </c>
      <c r="G95" s="2" t="s">
        <v>268</v>
      </c>
      <c r="H95" s="2" t="s">
        <v>35</v>
      </c>
      <c r="I95" s="3">
        <v>-46670</v>
      </c>
    </row>
    <row r="96" spans="1:9" x14ac:dyDescent="0.25">
      <c r="A96" s="2" t="s">
        <v>35</v>
      </c>
      <c r="B96" s="2" t="s">
        <v>121</v>
      </c>
      <c r="C96" s="2" t="s">
        <v>134</v>
      </c>
      <c r="D96" s="2" t="s">
        <v>136</v>
      </c>
      <c r="E96" s="2" t="s">
        <v>170</v>
      </c>
      <c r="F96" s="2" t="s">
        <v>206</v>
      </c>
      <c r="G96" s="2" t="s">
        <v>269</v>
      </c>
      <c r="H96" s="2" t="s">
        <v>35</v>
      </c>
      <c r="I96" s="3">
        <v>-103785</v>
      </c>
    </row>
    <row r="97" spans="1:9" x14ac:dyDescent="0.25">
      <c r="A97" s="2" t="s">
        <v>35</v>
      </c>
      <c r="B97" s="2" t="s">
        <v>122</v>
      </c>
      <c r="C97" s="2" t="s">
        <v>134</v>
      </c>
      <c r="D97" s="2" t="s">
        <v>136</v>
      </c>
      <c r="E97" s="2" t="s">
        <v>143</v>
      </c>
      <c r="F97" s="2" t="s">
        <v>179</v>
      </c>
      <c r="G97" s="2" t="s">
        <v>270</v>
      </c>
      <c r="H97" s="2" t="s">
        <v>34</v>
      </c>
      <c r="I97" s="3">
        <v>-1590</v>
      </c>
    </row>
    <row r="98" spans="1:9" x14ac:dyDescent="0.25">
      <c r="A98" s="2" t="s">
        <v>35</v>
      </c>
      <c r="B98" s="2" t="s">
        <v>123</v>
      </c>
      <c r="C98" s="2" t="s">
        <v>134</v>
      </c>
      <c r="D98" s="2" t="s">
        <v>136</v>
      </c>
      <c r="E98" s="2" t="s">
        <v>143</v>
      </c>
      <c r="F98" s="2" t="s">
        <v>179</v>
      </c>
      <c r="G98" s="2" t="s">
        <v>271</v>
      </c>
      <c r="H98" s="2" t="s">
        <v>24</v>
      </c>
      <c r="I98" s="3">
        <v>-3640</v>
      </c>
    </row>
    <row r="99" spans="1:9" x14ac:dyDescent="0.25">
      <c r="A99" s="2" t="s">
        <v>35</v>
      </c>
      <c r="B99" s="2" t="s">
        <v>124</v>
      </c>
      <c r="C99" s="2" t="s">
        <v>134</v>
      </c>
      <c r="D99" s="2" t="s">
        <v>136</v>
      </c>
      <c r="E99" s="2" t="s">
        <v>143</v>
      </c>
      <c r="F99" s="2" t="s">
        <v>179</v>
      </c>
      <c r="G99" s="2" t="s">
        <v>272</v>
      </c>
      <c r="H99" s="2" t="s">
        <v>28</v>
      </c>
      <c r="I99" s="3">
        <v>-3800</v>
      </c>
    </row>
    <row r="100" spans="1:9" x14ac:dyDescent="0.25">
      <c r="A100" s="2" t="s">
        <v>36</v>
      </c>
      <c r="B100" s="2" t="s">
        <v>125</v>
      </c>
      <c r="C100" s="2" t="s">
        <v>134</v>
      </c>
      <c r="D100" s="2" t="s">
        <v>136</v>
      </c>
      <c r="E100" s="2" t="s">
        <v>147</v>
      </c>
      <c r="F100" s="2" t="s">
        <v>183</v>
      </c>
      <c r="G100" s="2" t="s">
        <v>273</v>
      </c>
      <c r="H100" s="2" t="s">
        <v>36</v>
      </c>
      <c r="I100" s="3">
        <v>-251920</v>
      </c>
    </row>
    <row r="101" spans="1:9" x14ac:dyDescent="0.25">
      <c r="A101" s="2" t="s">
        <v>37</v>
      </c>
      <c r="B101" s="2" t="s">
        <v>126</v>
      </c>
      <c r="C101" s="2" t="s">
        <v>134</v>
      </c>
      <c r="D101" s="2" t="s">
        <v>136</v>
      </c>
      <c r="E101" s="2" t="s">
        <v>143</v>
      </c>
      <c r="F101" s="2" t="s">
        <v>179</v>
      </c>
      <c r="G101" s="2" t="s">
        <v>274</v>
      </c>
      <c r="H101" s="2" t="s">
        <v>37</v>
      </c>
      <c r="I101" s="3">
        <v>-152991</v>
      </c>
    </row>
    <row r="102" spans="1:9" x14ac:dyDescent="0.25">
      <c r="A102" s="2" t="s">
        <v>38</v>
      </c>
      <c r="B102" s="2" t="s">
        <v>127</v>
      </c>
      <c r="C102" s="2" t="s">
        <v>134</v>
      </c>
      <c r="D102" s="2" t="s">
        <v>136</v>
      </c>
      <c r="E102" s="2" t="s">
        <v>141</v>
      </c>
      <c r="F102" s="2" t="s">
        <v>177</v>
      </c>
      <c r="G102" s="2" t="s">
        <v>275</v>
      </c>
      <c r="H102" s="2" t="s">
        <v>38</v>
      </c>
      <c r="I102" s="3">
        <v>-13573</v>
      </c>
    </row>
    <row r="103" spans="1:9" x14ac:dyDescent="0.25">
      <c r="A103" s="2" t="s">
        <v>38</v>
      </c>
      <c r="B103" s="2" t="s">
        <v>128</v>
      </c>
      <c r="C103" s="2" t="s">
        <v>134</v>
      </c>
      <c r="D103" s="2" t="s">
        <v>136</v>
      </c>
      <c r="E103" s="2" t="s">
        <v>143</v>
      </c>
      <c r="F103" s="2" t="s">
        <v>179</v>
      </c>
      <c r="G103" s="2" t="s">
        <v>276</v>
      </c>
      <c r="H103" s="2" t="s">
        <v>38</v>
      </c>
      <c r="I103" s="3">
        <v>-5030</v>
      </c>
    </row>
    <row r="104" spans="1:9" x14ac:dyDescent="0.25">
      <c r="A104" s="2" t="s">
        <v>38</v>
      </c>
      <c r="B104" s="2" t="s">
        <v>129</v>
      </c>
      <c r="C104" s="2" t="s">
        <v>134</v>
      </c>
      <c r="D104" s="2" t="s">
        <v>136</v>
      </c>
      <c r="E104" s="2" t="s">
        <v>147</v>
      </c>
      <c r="F104" s="2" t="s">
        <v>183</v>
      </c>
      <c r="G104" s="2" t="s">
        <v>277</v>
      </c>
      <c r="H104" s="2" t="s">
        <v>38</v>
      </c>
      <c r="I104" s="3">
        <v>-299941</v>
      </c>
    </row>
    <row r="105" spans="1:9" x14ac:dyDescent="0.25">
      <c r="A105" s="2" t="s">
        <v>38</v>
      </c>
      <c r="B105" s="2" t="s">
        <v>130</v>
      </c>
      <c r="C105" s="2" t="s">
        <v>134</v>
      </c>
      <c r="D105" s="2" t="s">
        <v>136</v>
      </c>
      <c r="E105" s="2" t="s">
        <v>171</v>
      </c>
      <c r="F105" s="2" t="s">
        <v>207</v>
      </c>
      <c r="G105" s="2" t="s">
        <v>278</v>
      </c>
      <c r="H105" s="2" t="s">
        <v>38</v>
      </c>
      <c r="I105" s="3">
        <v>-23060</v>
      </c>
    </row>
    <row r="106" spans="1:9" x14ac:dyDescent="0.25">
      <c r="A106" s="2" t="s">
        <v>38</v>
      </c>
      <c r="B106" s="2" t="s">
        <v>131</v>
      </c>
      <c r="C106" s="2" t="s">
        <v>134</v>
      </c>
      <c r="D106" s="2" t="s">
        <v>136</v>
      </c>
      <c r="E106" s="2" t="s">
        <v>147</v>
      </c>
      <c r="F106" s="2" t="s">
        <v>183</v>
      </c>
      <c r="G106" s="2" t="s">
        <v>279</v>
      </c>
      <c r="H106" s="2" t="s">
        <v>38</v>
      </c>
      <c r="I106" s="3">
        <v>-32980</v>
      </c>
    </row>
    <row r="107" spans="1:9" x14ac:dyDescent="0.25">
      <c r="A107" s="2" t="s">
        <v>38</v>
      </c>
      <c r="B107" s="2" t="s">
        <v>132</v>
      </c>
      <c r="C107" s="2" t="s">
        <v>134</v>
      </c>
      <c r="D107" s="2" t="s">
        <v>136</v>
      </c>
      <c r="E107" s="2" t="s">
        <v>172</v>
      </c>
      <c r="F107" s="2" t="s">
        <v>208</v>
      </c>
      <c r="G107" s="2" t="s">
        <v>280</v>
      </c>
      <c r="H107" s="2" t="s">
        <v>38</v>
      </c>
      <c r="I107" s="3">
        <v>-76999</v>
      </c>
    </row>
    <row r="108" spans="1:9" x14ac:dyDescent="0.25">
      <c r="A108" s="4" t="s">
        <v>302</v>
      </c>
      <c r="B108" s="4"/>
      <c r="C108" s="4"/>
      <c r="D108" s="4"/>
      <c r="E108" s="4"/>
      <c r="F108" s="4"/>
      <c r="G108" s="4"/>
      <c r="H108" s="4"/>
      <c r="I108" s="5">
        <f>SUBTOTAL(9, I7:I107)</f>
        <v>-16541863</v>
      </c>
    </row>
  </sheetData>
  <autoFilter ref="A6:I107" xr:uid="{00000000-0009-0000-0000-000000000000}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zoomScale="130" zoomScaleNormal="13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12" sqref="F12"/>
    </sheetView>
  </sheetViews>
  <sheetFormatPr baseColWidth="10" defaultColWidth="9.140625" defaultRowHeight="15" x14ac:dyDescent="0.25"/>
  <cols>
    <col min="1" max="1" width="61.140625" bestFit="1" customWidth="1"/>
    <col min="2" max="4" width="20.7109375" customWidth="1"/>
  </cols>
  <sheetData>
    <row r="1" spans="1:6" ht="18.75" x14ac:dyDescent="0.3">
      <c r="A1" s="6" t="s">
        <v>288</v>
      </c>
      <c r="B1" s="6"/>
      <c r="C1" s="6"/>
      <c r="D1" s="6"/>
    </row>
    <row r="2" spans="1:6" x14ac:dyDescent="0.25">
      <c r="A2" s="7" t="s">
        <v>289</v>
      </c>
      <c r="B2" s="7"/>
      <c r="C2" s="7"/>
      <c r="D2" s="7"/>
    </row>
    <row r="3" spans="1:6" x14ac:dyDescent="0.25">
      <c r="A3" s="7" t="s">
        <v>290</v>
      </c>
      <c r="B3" s="7"/>
      <c r="C3" s="7"/>
      <c r="D3" s="7"/>
    </row>
    <row r="4" spans="1:6" x14ac:dyDescent="0.25">
      <c r="A4" s="7" t="s">
        <v>291</v>
      </c>
      <c r="B4" s="7"/>
      <c r="C4" s="7"/>
      <c r="D4" s="7"/>
    </row>
    <row r="5" spans="1:6" x14ac:dyDescent="0.25">
      <c r="A5" s="7" t="s">
        <v>292</v>
      </c>
      <c r="B5" s="7"/>
      <c r="C5" s="7"/>
      <c r="D5" s="7"/>
    </row>
    <row r="6" spans="1:6" x14ac:dyDescent="0.25">
      <c r="A6" s="1" t="s">
        <v>298</v>
      </c>
      <c r="B6" s="1" t="s">
        <v>303</v>
      </c>
      <c r="C6" s="1" t="s">
        <v>304</v>
      </c>
      <c r="D6" s="1" t="s">
        <v>305</v>
      </c>
    </row>
    <row r="7" spans="1:6" x14ac:dyDescent="0.25">
      <c r="A7" s="2" t="s">
        <v>193</v>
      </c>
      <c r="B7" s="3">
        <v>0</v>
      </c>
      <c r="C7" s="3">
        <v>-251400</v>
      </c>
      <c r="D7" s="3">
        <v>-251400</v>
      </c>
    </row>
    <row r="8" spans="1:6" x14ac:dyDescent="0.25">
      <c r="A8" s="8" t="s">
        <v>174</v>
      </c>
      <c r="B8" s="9">
        <v>0</v>
      </c>
      <c r="C8" s="9">
        <v>-35950</v>
      </c>
      <c r="D8" s="9">
        <v>-35950</v>
      </c>
    </row>
    <row r="9" spans="1:6" x14ac:dyDescent="0.25">
      <c r="A9" s="2" t="s">
        <v>184</v>
      </c>
      <c r="B9" s="3">
        <v>0</v>
      </c>
      <c r="C9" s="3">
        <v>-35300</v>
      </c>
      <c r="D9" s="3">
        <v>-35300</v>
      </c>
    </row>
    <row r="10" spans="1:6" x14ac:dyDescent="0.25">
      <c r="A10" s="2" t="s">
        <v>180</v>
      </c>
      <c r="B10" s="3">
        <v>0</v>
      </c>
      <c r="C10" s="3">
        <v>-10045</v>
      </c>
      <c r="D10" s="3">
        <v>-10045</v>
      </c>
    </row>
    <row r="11" spans="1:6" x14ac:dyDescent="0.25">
      <c r="A11" s="8" t="s">
        <v>195</v>
      </c>
      <c r="B11" s="9">
        <v>83300</v>
      </c>
      <c r="C11" s="9">
        <v>0</v>
      </c>
      <c r="D11" s="9">
        <v>83300</v>
      </c>
      <c r="F11" t="s">
        <v>308</v>
      </c>
    </row>
    <row r="12" spans="1:6" x14ac:dyDescent="0.25">
      <c r="A12" s="2" t="s">
        <v>179</v>
      </c>
      <c r="B12" s="3">
        <v>0</v>
      </c>
      <c r="C12" s="3">
        <v>-256212</v>
      </c>
      <c r="D12" s="3">
        <v>-256212</v>
      </c>
    </row>
    <row r="13" spans="1:6" x14ac:dyDescent="0.25">
      <c r="A13" s="2" t="s">
        <v>207</v>
      </c>
      <c r="B13" s="3">
        <v>0</v>
      </c>
      <c r="C13" s="3">
        <v>-23060</v>
      </c>
      <c r="D13" s="3">
        <v>-23060</v>
      </c>
    </row>
    <row r="14" spans="1:6" x14ac:dyDescent="0.25">
      <c r="A14" s="2" t="s">
        <v>206</v>
      </c>
      <c r="B14" s="3">
        <v>0</v>
      </c>
      <c r="C14" s="3">
        <v>-103785</v>
      </c>
      <c r="D14" s="3">
        <v>-103785</v>
      </c>
    </row>
    <row r="15" spans="1:6" x14ac:dyDescent="0.25">
      <c r="A15" s="2" t="s">
        <v>201</v>
      </c>
      <c r="B15" s="3">
        <v>0</v>
      </c>
      <c r="C15" s="3">
        <v>-15613</v>
      </c>
      <c r="D15" s="3">
        <v>-15613</v>
      </c>
    </row>
    <row r="16" spans="1:6" x14ac:dyDescent="0.25">
      <c r="A16" s="2" t="s">
        <v>200</v>
      </c>
      <c r="B16" s="3">
        <v>0</v>
      </c>
      <c r="C16" s="3">
        <v>-7560</v>
      </c>
      <c r="D16" s="3">
        <v>-7560</v>
      </c>
    </row>
    <row r="17" spans="1:6" x14ac:dyDescent="0.25">
      <c r="A17" s="8" t="s">
        <v>173</v>
      </c>
      <c r="B17" s="9">
        <v>108880</v>
      </c>
      <c r="C17" s="9">
        <v>42490</v>
      </c>
      <c r="D17" s="9">
        <v>151370</v>
      </c>
    </row>
    <row r="18" spans="1:6" x14ac:dyDescent="0.25">
      <c r="A18" s="10" t="s">
        <v>183</v>
      </c>
      <c r="B18" s="11">
        <v>0</v>
      </c>
      <c r="C18" s="11">
        <v>-688511</v>
      </c>
      <c r="D18" s="11">
        <v>-688511</v>
      </c>
    </row>
    <row r="19" spans="1:6" x14ac:dyDescent="0.25">
      <c r="A19" s="8" t="s">
        <v>199</v>
      </c>
      <c r="B19" s="9">
        <v>976514</v>
      </c>
      <c r="C19" s="9">
        <v>-898926</v>
      </c>
      <c r="D19" s="9">
        <v>77588</v>
      </c>
      <c r="F19" t="s">
        <v>307</v>
      </c>
    </row>
    <row r="20" spans="1:6" x14ac:dyDescent="0.25">
      <c r="A20" s="2" t="s">
        <v>196</v>
      </c>
      <c r="B20" s="3">
        <v>0</v>
      </c>
      <c r="C20" s="3">
        <v>-226180</v>
      </c>
      <c r="D20" s="3">
        <v>-226180</v>
      </c>
    </row>
    <row r="21" spans="1:6" x14ac:dyDescent="0.25">
      <c r="A21" s="2" t="s">
        <v>192</v>
      </c>
      <c r="B21" s="3">
        <v>0</v>
      </c>
      <c r="C21" s="3">
        <v>-159450</v>
      </c>
      <c r="D21" s="3">
        <v>-159450</v>
      </c>
    </row>
    <row r="22" spans="1:6" x14ac:dyDescent="0.25">
      <c r="A22" s="2" t="s">
        <v>205</v>
      </c>
      <c r="B22" s="3">
        <v>0</v>
      </c>
      <c r="C22" s="3">
        <v>-83300</v>
      </c>
      <c r="D22" s="3">
        <v>-83300</v>
      </c>
    </row>
    <row r="23" spans="1:6" x14ac:dyDescent="0.25">
      <c r="A23" s="10" t="s">
        <v>191</v>
      </c>
      <c r="B23" s="11">
        <v>0</v>
      </c>
      <c r="C23" s="11">
        <v>-1</v>
      </c>
      <c r="D23" s="11">
        <v>-1</v>
      </c>
    </row>
    <row r="24" spans="1:6" x14ac:dyDescent="0.25">
      <c r="A24" s="2" t="s">
        <v>189</v>
      </c>
      <c r="B24" s="3">
        <v>0</v>
      </c>
      <c r="C24" s="3">
        <v>-59900</v>
      </c>
      <c r="D24" s="3">
        <v>-59900</v>
      </c>
    </row>
    <row r="25" spans="1:6" x14ac:dyDescent="0.25">
      <c r="A25" s="8" t="s">
        <v>194</v>
      </c>
      <c r="B25" s="9">
        <v>0</v>
      </c>
      <c r="C25" s="9">
        <v>87400</v>
      </c>
      <c r="D25" s="9">
        <v>87400</v>
      </c>
      <c r="F25" s="2" t="s">
        <v>246</v>
      </c>
    </row>
    <row r="26" spans="1:6" x14ac:dyDescent="0.25">
      <c r="A26" s="2" t="s">
        <v>175</v>
      </c>
      <c r="B26" s="3">
        <v>0</v>
      </c>
      <c r="C26" s="3">
        <v>-72578</v>
      </c>
      <c r="D26" s="3">
        <v>-72578</v>
      </c>
    </row>
    <row r="27" spans="1:6" x14ac:dyDescent="0.25">
      <c r="A27" s="2" t="s">
        <v>204</v>
      </c>
      <c r="B27" s="3">
        <v>0</v>
      </c>
      <c r="C27" s="3">
        <v>-1740114</v>
      </c>
      <c r="D27" s="3">
        <v>-1740114</v>
      </c>
    </row>
    <row r="28" spans="1:6" x14ac:dyDescent="0.25">
      <c r="A28" s="2" t="s">
        <v>188</v>
      </c>
      <c r="B28" s="3">
        <v>0</v>
      </c>
      <c r="C28" s="3">
        <v>-21193</v>
      </c>
      <c r="D28" s="3">
        <v>-21193</v>
      </c>
    </row>
    <row r="29" spans="1:6" x14ac:dyDescent="0.25">
      <c r="A29" s="2" t="s">
        <v>185</v>
      </c>
      <c r="B29" s="3">
        <v>0</v>
      </c>
      <c r="C29" s="3">
        <v>-6955550</v>
      </c>
      <c r="D29" s="3">
        <v>-6955550</v>
      </c>
    </row>
    <row r="30" spans="1:6" x14ac:dyDescent="0.25">
      <c r="A30" s="2" t="s">
        <v>208</v>
      </c>
      <c r="B30" s="3">
        <v>0</v>
      </c>
      <c r="C30" s="3">
        <v>-76999</v>
      </c>
      <c r="D30" s="3">
        <v>-76999</v>
      </c>
    </row>
    <row r="31" spans="1:6" x14ac:dyDescent="0.25">
      <c r="A31" s="2" t="s">
        <v>197</v>
      </c>
      <c r="B31" s="3">
        <v>187147</v>
      </c>
      <c r="C31" s="3">
        <v>-89656</v>
      </c>
      <c r="D31" s="3">
        <v>97491</v>
      </c>
    </row>
    <row r="32" spans="1:6" x14ac:dyDescent="0.25">
      <c r="A32" s="2" t="s">
        <v>178</v>
      </c>
      <c r="B32" s="3">
        <v>0</v>
      </c>
      <c r="C32" s="3">
        <v>-29160</v>
      </c>
      <c r="D32" s="3">
        <v>-29160</v>
      </c>
    </row>
    <row r="33" spans="1:6" x14ac:dyDescent="0.25">
      <c r="A33" s="2" t="s">
        <v>176</v>
      </c>
      <c r="B33" s="3">
        <v>0</v>
      </c>
      <c r="C33" s="3">
        <v>136672</v>
      </c>
      <c r="D33" s="3">
        <v>136672</v>
      </c>
    </row>
    <row r="34" spans="1:6" x14ac:dyDescent="0.25">
      <c r="A34" s="2" t="s">
        <v>190</v>
      </c>
      <c r="B34" s="3">
        <v>0</v>
      </c>
      <c r="C34" s="3">
        <v>-452200</v>
      </c>
      <c r="D34" s="3">
        <v>-452200</v>
      </c>
    </row>
    <row r="35" spans="1:6" x14ac:dyDescent="0.25">
      <c r="A35" s="2" t="s">
        <v>177</v>
      </c>
      <c r="B35" s="3">
        <v>0</v>
      </c>
      <c r="C35" s="3">
        <v>-229849</v>
      </c>
      <c r="D35" s="3">
        <v>-229849</v>
      </c>
    </row>
    <row r="36" spans="1:6" x14ac:dyDescent="0.25">
      <c r="A36" s="2" t="s">
        <v>186</v>
      </c>
      <c r="B36" s="3">
        <v>0</v>
      </c>
      <c r="C36" s="3">
        <v>-4581500</v>
      </c>
      <c r="D36" s="3">
        <v>-4581500</v>
      </c>
    </row>
    <row r="37" spans="1:6" x14ac:dyDescent="0.25">
      <c r="A37" s="2" t="s">
        <v>182</v>
      </c>
      <c r="B37" s="3">
        <v>0</v>
      </c>
      <c r="C37" s="3">
        <v>77886</v>
      </c>
      <c r="D37" s="3">
        <v>77886</v>
      </c>
    </row>
    <row r="38" spans="1:6" x14ac:dyDescent="0.25">
      <c r="A38" s="8" t="s">
        <v>187</v>
      </c>
      <c r="B38" s="9">
        <v>856399</v>
      </c>
      <c r="C38" s="9">
        <v>-856399</v>
      </c>
      <c r="D38" s="9">
        <v>0</v>
      </c>
      <c r="F38" t="s">
        <v>306</v>
      </c>
    </row>
    <row r="39" spans="1:6" x14ac:dyDescent="0.25">
      <c r="A39" s="2" t="s">
        <v>203</v>
      </c>
      <c r="B39" s="3">
        <v>0</v>
      </c>
      <c r="C39" s="3">
        <v>-597000</v>
      </c>
      <c r="D39" s="3">
        <v>-597000</v>
      </c>
    </row>
    <row r="40" spans="1:6" x14ac:dyDescent="0.25">
      <c r="A40" s="2" t="s">
        <v>202</v>
      </c>
      <c r="B40" s="3">
        <v>0</v>
      </c>
      <c r="C40" s="3">
        <v>-119000</v>
      </c>
      <c r="D40" s="3">
        <v>-119000</v>
      </c>
    </row>
    <row r="41" spans="1:6" x14ac:dyDescent="0.25">
      <c r="A41" s="2" t="s">
        <v>198</v>
      </c>
      <c r="B41" s="3">
        <v>0</v>
      </c>
      <c r="C41" s="3">
        <v>-362190</v>
      </c>
      <c r="D41" s="3">
        <v>-362190</v>
      </c>
    </row>
    <row r="42" spans="1:6" x14ac:dyDescent="0.25">
      <c r="A42" s="2" t="s">
        <v>181</v>
      </c>
      <c r="B42" s="3">
        <v>0</v>
      </c>
      <c r="C42" s="3">
        <v>-59970</v>
      </c>
      <c r="D42" s="3">
        <v>-59970</v>
      </c>
    </row>
    <row r="43" spans="1:6" x14ac:dyDescent="0.25">
      <c r="A43" s="4" t="s">
        <v>302</v>
      </c>
      <c r="B43" s="5">
        <f>SUBTOTAL(9, B7:B42)</f>
        <v>2212240</v>
      </c>
      <c r="C43" s="5">
        <f>SUBTOTAL(9, C7:C42)</f>
        <v>-18754103</v>
      </c>
      <c r="D43" s="5">
        <f>SUBTOTAL(9, D7:D42)</f>
        <v>-16541863</v>
      </c>
    </row>
  </sheetData>
  <autoFilter ref="A6:D42" xr:uid="{00000000-0009-0000-0000-000001000000}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 Fernandez</cp:lastModifiedBy>
  <dcterms:created xsi:type="dcterms:W3CDTF">2026-04-09T05:04:15Z</dcterms:created>
  <dcterms:modified xsi:type="dcterms:W3CDTF">2026-04-09T05:28:10Z</dcterms:modified>
</cp:coreProperties>
</file>
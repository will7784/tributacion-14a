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" sheetId="1" r:id="rId1"/>
  </sheets>
  <calcPr calcId="124519" fullCalcOnLoad="1"/>
</workbook>
</file>

<file path=xl/sharedStrings.xml><?xml version="1.0" encoding="utf-8"?>
<sst xmlns="http://schemas.openxmlformats.org/spreadsheetml/2006/main" count="208" uniqueCount="118">
  <si>
    <t>cuenta</t>
  </si>
  <si>
    <t>nombre_cuenta</t>
  </si>
  <si>
    <t>debe</t>
  </si>
  <si>
    <t>haber</t>
  </si>
  <si>
    <t>saldo_deudor</t>
  </si>
  <si>
    <t>saldo_acreedor</t>
  </si>
  <si>
    <t>activo</t>
  </si>
  <si>
    <t>pasivo</t>
  </si>
  <si>
    <t>perdida</t>
  </si>
  <si>
    <t>ganancia</t>
  </si>
  <si>
    <t>1.01.01.01</t>
  </si>
  <si>
    <t>1.01.01.04</t>
  </si>
  <si>
    <t>1.01.01.10</t>
  </si>
  <si>
    <t>1.01.03.01</t>
  </si>
  <si>
    <t>1.01.05.01</t>
  </si>
  <si>
    <t>1.01.05.03</t>
  </si>
  <si>
    <t>1.01.08.02</t>
  </si>
  <si>
    <t>1.01.08.03</t>
  </si>
  <si>
    <t>1.01.10.01</t>
  </si>
  <si>
    <t>1.01.10.02</t>
  </si>
  <si>
    <t>1.01.10.04</t>
  </si>
  <si>
    <t>1.01.11.01</t>
  </si>
  <si>
    <t>1.01.11.04</t>
  </si>
  <si>
    <t>1.02.02.01</t>
  </si>
  <si>
    <t>1.02.06.01</t>
  </si>
  <si>
    <t>1.03.05.02</t>
  </si>
  <si>
    <t>1.03.10.01</t>
  </si>
  <si>
    <t>2.01.07.01</t>
  </si>
  <si>
    <t>2.01.07.03</t>
  </si>
  <si>
    <t>2.01.07.05</t>
  </si>
  <si>
    <t>2.01.08.01</t>
  </si>
  <si>
    <t>2.01.09.01</t>
  </si>
  <si>
    <t>2.01.10.02</t>
  </si>
  <si>
    <t>2.01.12.04</t>
  </si>
  <si>
    <t>2.01.12.05</t>
  </si>
  <si>
    <t>2.01.14.01</t>
  </si>
  <si>
    <t>2.02.03.01</t>
  </si>
  <si>
    <t>2.03.01.01</t>
  </si>
  <si>
    <t>2.03.02.01</t>
  </si>
  <si>
    <t>2.03.06.01</t>
  </si>
  <si>
    <t>2.03.07.02</t>
  </si>
  <si>
    <t>2.03.08.01</t>
  </si>
  <si>
    <t>3.01.01.01</t>
  </si>
  <si>
    <t>3.01.01.02</t>
  </si>
  <si>
    <t>3.01.01.50</t>
  </si>
  <si>
    <t>4.01.02.01</t>
  </si>
  <si>
    <t>4.01.03.01</t>
  </si>
  <si>
    <t>4.01.03.08</t>
  </si>
  <si>
    <t>4.01.03.12</t>
  </si>
  <si>
    <t>4.01.03.22</t>
  </si>
  <si>
    <t>4.01.03.24</t>
  </si>
  <si>
    <t>4.01.03.25</t>
  </si>
  <si>
    <t>4.02.07.01</t>
  </si>
  <si>
    <t>4.02.10.04</t>
  </si>
  <si>
    <t>4.02.10.05</t>
  </si>
  <si>
    <t>Caja</t>
  </si>
  <si>
    <t>Banco de Chile</t>
  </si>
  <si>
    <t>Fondos por Rendir</t>
  </si>
  <si>
    <t>Fondos Mutuos</t>
  </si>
  <si>
    <t>Deudores por venta</t>
  </si>
  <si>
    <t>Préstamo CV Propiedad Monseñor</t>
  </si>
  <si>
    <t>Cuenta corriente Publicidad Locucion</t>
  </si>
  <si>
    <t>Cuenta Corriente Inversiones Nano Calderon</t>
  </si>
  <si>
    <t>IVA Credito Fiscal</t>
  </si>
  <si>
    <t>PPM</t>
  </si>
  <si>
    <t>Remanente de IVA</t>
  </si>
  <si>
    <t>Anticipo Proveedores</t>
  </si>
  <si>
    <t>Anticipos compra Propiedades</t>
  </si>
  <si>
    <t>Edificios</t>
  </si>
  <si>
    <t>Depreciación Acumulada</t>
  </si>
  <si>
    <t xml:space="preserve">Prestamo Tercero </t>
  </si>
  <si>
    <t>Otras Cuentas por Cobrar</t>
  </si>
  <si>
    <t>Proveedores Nacionales</t>
  </si>
  <si>
    <t>Honorarios por Pagar</t>
  </si>
  <si>
    <t>TC Banco de Chile</t>
  </si>
  <si>
    <t>Sueldos por Pagar</t>
  </si>
  <si>
    <t>Acreedores varios</t>
  </si>
  <si>
    <t>Cuenta Corriente Hernan Calderon</t>
  </si>
  <si>
    <t>IVA Debito Fiscal</t>
  </si>
  <si>
    <t>Impuestos por Pagar</t>
  </si>
  <si>
    <t>Anticipo de Clientes</t>
  </si>
  <si>
    <t>Mutuo por pagar 24.727UF Raquel</t>
  </si>
  <si>
    <t>Capital</t>
  </si>
  <si>
    <t>Reserva revalorización capital</t>
  </si>
  <si>
    <t>Utilidades acumuladas</t>
  </si>
  <si>
    <t>Perdidas del Ejercicio</t>
  </si>
  <si>
    <t xml:space="preserve">Dividendos provisorios </t>
  </si>
  <si>
    <t>Ventas Afectas</t>
  </si>
  <si>
    <t>Ventas Exentas</t>
  </si>
  <si>
    <t>Otros ingresos por Ventas</t>
  </si>
  <si>
    <t>Costo de Venta</t>
  </si>
  <si>
    <t>Honorarios Profesionales</t>
  </si>
  <si>
    <t>Seguros</t>
  </si>
  <si>
    <t>Suscripciones</t>
  </si>
  <si>
    <t>Gastos Generales</t>
  </si>
  <si>
    <t xml:space="preserve">Asesorías </t>
  </si>
  <si>
    <t>Costo en Equipos de Oficina</t>
  </si>
  <si>
    <t>Gastos Bancarios</t>
  </si>
  <si>
    <t xml:space="preserve">Reajuste UM </t>
  </si>
  <si>
    <t>Contribuciones BBRR</t>
  </si>
  <si>
    <t>BALANCE GENERAL TRIBUTARIO (8 COLUMNAS)</t>
  </si>
  <si>
    <t>EMPRESA: INVERSIONES ARGANDONA DE LA FUENTE SPA</t>
  </si>
  <si>
    <t>RUT: 76.984.644-1</t>
  </si>
  <si>
    <t>PERÍODO HASTA: 31-12-2025</t>
  </si>
  <si>
    <t>FECHA EMISIÓN: 10-03-2026</t>
  </si>
  <si>
    <t>Cuenta</t>
  </si>
  <si>
    <t>Descripción</t>
  </si>
  <si>
    <t>Debe</t>
  </si>
  <si>
    <t>Haber</t>
  </si>
  <si>
    <t>S. Deudor</t>
  </si>
  <si>
    <t>S. Acreedor</t>
  </si>
  <si>
    <t>Activo</t>
  </si>
  <si>
    <t>Pasivo</t>
  </si>
  <si>
    <t>Pérdida</t>
  </si>
  <si>
    <t>Ganancia</t>
  </si>
  <si>
    <t>SUMAS TOTALES</t>
  </si>
  <si>
    <t>UTILIDAD/PÉRDIDA DEL EJERCICIO</t>
  </si>
  <si>
    <t>TOTALES</t>
  </si>
</sst>
</file>

<file path=xl/styles.xml><?xml version="1.0" encoding="utf-8"?>
<styleSheet xmlns="http://schemas.openxmlformats.org/spreadsheetml/2006/main">
  <numFmts count="1">
    <numFmt numFmtId="164" formatCode="&quot;$&quot; #,##0;[Red]&quot;$&quot; (#,##0)"/>
  </numFmts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F6F7"/>
        <bgColor indexed="64"/>
      </patternFill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3" fillId="3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4" fontId="3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cols>
    <col min="1" max="1" width="15.7109375" customWidth="1"/>
    <col min="2" max="2" width="45.7109375" customWidth="1"/>
    <col min="3" max="10" width="15.7109375" customWidth="1"/>
  </cols>
  <sheetData>
    <row r="1" spans="1:10">
      <c r="A1" s="1" t="s">
        <v>100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101</v>
      </c>
    </row>
    <row r="3" spans="1:10">
      <c r="A3" s="2" t="s">
        <v>102</v>
      </c>
    </row>
    <row r="4" spans="1:10">
      <c r="A4" s="2" t="s">
        <v>103</v>
      </c>
    </row>
    <row r="5" spans="1:10">
      <c r="A5" s="2" t="s">
        <v>104</v>
      </c>
    </row>
    <row r="6" spans="1:10">
      <c r="A6" s="3" t="s">
        <v>105</v>
      </c>
      <c r="B6" s="3" t="s">
        <v>106</v>
      </c>
      <c r="C6" s="3" t="s">
        <v>107</v>
      </c>
      <c r="D6" s="3" t="s">
        <v>108</v>
      </c>
      <c r="E6" s="3" t="s">
        <v>109</v>
      </c>
      <c r="F6" s="3" t="s">
        <v>110</v>
      </c>
      <c r="G6" s="3" t="s">
        <v>111</v>
      </c>
      <c r="H6" s="3" t="s">
        <v>112</v>
      </c>
      <c r="I6" s="3" t="s">
        <v>113</v>
      </c>
      <c r="J6" s="3" t="s">
        <v>114</v>
      </c>
    </row>
    <row r="7" spans="1:10">
      <c r="A7" s="4" t="s">
        <v>10</v>
      </c>
      <c r="B7" s="4" t="s">
        <v>55</v>
      </c>
      <c r="C7" s="5">
        <v>1180800</v>
      </c>
      <c r="D7" s="5">
        <v>1508700</v>
      </c>
      <c r="E7" s="5">
        <v>0</v>
      </c>
      <c r="F7" s="5">
        <v>327900</v>
      </c>
      <c r="G7" s="5">
        <v>0</v>
      </c>
      <c r="H7" s="5">
        <v>327900</v>
      </c>
      <c r="I7" s="5">
        <v>0</v>
      </c>
      <c r="J7" s="5">
        <v>0</v>
      </c>
    </row>
    <row r="8" spans="1:10">
      <c r="A8" s="4" t="s">
        <v>11</v>
      </c>
      <c r="B8" s="4" t="s">
        <v>56</v>
      </c>
      <c r="C8" s="5">
        <v>840161261</v>
      </c>
      <c r="D8" s="5">
        <v>468196933</v>
      </c>
      <c r="E8" s="5">
        <v>371964328</v>
      </c>
      <c r="F8" s="5">
        <v>0</v>
      </c>
      <c r="G8" s="5">
        <v>371964328</v>
      </c>
      <c r="H8" s="5">
        <v>0</v>
      </c>
      <c r="I8" s="5">
        <v>0</v>
      </c>
      <c r="J8" s="5">
        <v>0</v>
      </c>
    </row>
    <row r="9" spans="1:10">
      <c r="A9" s="4" t="s">
        <v>12</v>
      </c>
      <c r="B9" s="4" t="s">
        <v>57</v>
      </c>
      <c r="C9" s="5">
        <v>14000000</v>
      </c>
      <c r="D9" s="5">
        <v>1357911</v>
      </c>
      <c r="E9" s="5">
        <v>12642089</v>
      </c>
      <c r="F9" s="5">
        <v>0</v>
      </c>
      <c r="G9" s="5">
        <v>12642089</v>
      </c>
      <c r="H9" s="5">
        <v>0</v>
      </c>
      <c r="I9" s="5">
        <v>0</v>
      </c>
      <c r="J9" s="5">
        <v>0</v>
      </c>
    </row>
    <row r="10" spans="1:10">
      <c r="A10" s="4" t="s">
        <v>13</v>
      </c>
      <c r="B10" s="4" t="s">
        <v>58</v>
      </c>
      <c r="C10" s="5">
        <v>113855091</v>
      </c>
      <c r="D10" s="5">
        <v>170880302</v>
      </c>
      <c r="E10" s="5">
        <v>0</v>
      </c>
      <c r="F10" s="5">
        <v>57025211</v>
      </c>
      <c r="G10" s="5">
        <v>0</v>
      </c>
      <c r="H10" s="5">
        <v>57025211</v>
      </c>
      <c r="I10" s="5">
        <v>0</v>
      </c>
      <c r="J10" s="5">
        <v>0</v>
      </c>
    </row>
    <row r="11" spans="1:10">
      <c r="A11" s="4" t="s">
        <v>14</v>
      </c>
      <c r="B11" s="4" t="s">
        <v>59</v>
      </c>
      <c r="C11" s="5">
        <v>159309566</v>
      </c>
      <c r="D11" s="5">
        <v>417802309</v>
      </c>
      <c r="E11" s="5">
        <v>0</v>
      </c>
      <c r="F11" s="5">
        <v>258492743</v>
      </c>
      <c r="G11" s="5">
        <v>0</v>
      </c>
      <c r="H11" s="5">
        <v>258492743</v>
      </c>
      <c r="I11" s="5">
        <v>0</v>
      </c>
      <c r="J11" s="5">
        <v>0</v>
      </c>
    </row>
    <row r="12" spans="1:10">
      <c r="A12" s="4" t="s">
        <v>15</v>
      </c>
      <c r="B12" s="4" t="s">
        <v>60</v>
      </c>
      <c r="C12" s="5">
        <v>0</v>
      </c>
      <c r="D12" s="5">
        <v>175877100</v>
      </c>
      <c r="E12" s="5">
        <v>0</v>
      </c>
      <c r="F12" s="5">
        <v>175877100</v>
      </c>
      <c r="G12" s="5">
        <v>0</v>
      </c>
      <c r="H12" s="5">
        <v>175877100</v>
      </c>
      <c r="I12" s="5">
        <v>0</v>
      </c>
      <c r="J12" s="5">
        <v>0</v>
      </c>
    </row>
    <row r="13" spans="1:10">
      <c r="A13" s="4" t="s">
        <v>16</v>
      </c>
      <c r="B13" s="4" t="s">
        <v>61</v>
      </c>
      <c r="C13" s="5">
        <v>11267932</v>
      </c>
      <c r="D13" s="5">
        <v>4000000</v>
      </c>
      <c r="E13" s="5">
        <v>7267932</v>
      </c>
      <c r="F13" s="5">
        <v>0</v>
      </c>
      <c r="G13" s="5">
        <v>7267932</v>
      </c>
      <c r="H13" s="5">
        <v>0</v>
      </c>
      <c r="I13" s="5">
        <v>0</v>
      </c>
      <c r="J13" s="5">
        <v>0</v>
      </c>
    </row>
    <row r="14" spans="1:10">
      <c r="A14" s="4" t="s">
        <v>17</v>
      </c>
      <c r="B14" s="4" t="s">
        <v>62</v>
      </c>
      <c r="C14" s="5">
        <v>11039057</v>
      </c>
      <c r="D14" s="5">
        <v>0</v>
      </c>
      <c r="E14" s="5">
        <v>11039057</v>
      </c>
      <c r="F14" s="5">
        <v>0</v>
      </c>
      <c r="G14" s="5">
        <v>11039057</v>
      </c>
      <c r="H14" s="5">
        <v>0</v>
      </c>
      <c r="I14" s="5">
        <v>0</v>
      </c>
      <c r="J14" s="5">
        <v>0</v>
      </c>
    </row>
    <row r="15" spans="1:10">
      <c r="A15" s="4" t="s">
        <v>18</v>
      </c>
      <c r="B15" s="4" t="s">
        <v>63</v>
      </c>
      <c r="C15" s="5">
        <v>2761519</v>
      </c>
      <c r="D15" s="5">
        <v>57724</v>
      </c>
      <c r="E15" s="5">
        <v>2703795</v>
      </c>
      <c r="F15" s="5">
        <v>0</v>
      </c>
      <c r="G15" s="5">
        <v>2703795</v>
      </c>
      <c r="H15" s="5">
        <v>0</v>
      </c>
      <c r="I15" s="5">
        <v>0</v>
      </c>
      <c r="J15" s="5">
        <v>0</v>
      </c>
    </row>
    <row r="16" spans="1:10">
      <c r="A16" s="4" t="s">
        <v>19</v>
      </c>
      <c r="B16" s="4" t="s">
        <v>64</v>
      </c>
      <c r="C16" s="5">
        <v>1603175</v>
      </c>
      <c r="D16" s="5">
        <v>0</v>
      </c>
      <c r="E16" s="5">
        <v>1603175</v>
      </c>
      <c r="F16" s="5">
        <v>0</v>
      </c>
      <c r="G16" s="5">
        <v>1603175</v>
      </c>
      <c r="H16" s="5">
        <v>0</v>
      </c>
      <c r="I16" s="5">
        <v>0</v>
      </c>
      <c r="J16" s="5">
        <v>0</v>
      </c>
    </row>
    <row r="17" spans="1:10">
      <c r="A17" s="4" t="s">
        <v>20</v>
      </c>
      <c r="B17" s="4" t="s">
        <v>65</v>
      </c>
      <c r="C17" s="5">
        <v>88993609</v>
      </c>
      <c r="D17" s="5">
        <v>0</v>
      </c>
      <c r="E17" s="5">
        <v>88993609</v>
      </c>
      <c r="F17" s="5">
        <v>0</v>
      </c>
      <c r="G17" s="5">
        <v>88993609</v>
      </c>
      <c r="H17" s="5">
        <v>0</v>
      </c>
      <c r="I17" s="5">
        <v>0</v>
      </c>
      <c r="J17" s="5">
        <v>0</v>
      </c>
    </row>
    <row r="18" spans="1:10">
      <c r="A18" s="4" t="s">
        <v>21</v>
      </c>
      <c r="B18" s="4" t="s">
        <v>66</v>
      </c>
      <c r="C18" s="5">
        <v>1500924</v>
      </c>
      <c r="D18" s="5">
        <v>7961</v>
      </c>
      <c r="E18" s="5">
        <v>1492963</v>
      </c>
      <c r="F18" s="5">
        <v>0</v>
      </c>
      <c r="G18" s="5">
        <v>1492963</v>
      </c>
      <c r="H18" s="5">
        <v>0</v>
      </c>
      <c r="I18" s="5">
        <v>0</v>
      </c>
      <c r="J18" s="5">
        <v>0</v>
      </c>
    </row>
    <row r="19" spans="1:10">
      <c r="A19" s="4" t="s">
        <v>22</v>
      </c>
      <c r="B19" s="4" t="s">
        <v>67</v>
      </c>
      <c r="C19" s="5">
        <v>163398322</v>
      </c>
      <c r="D19" s="5">
        <v>163398322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</row>
    <row r="20" spans="1:10">
      <c r="A20" s="4" t="s">
        <v>23</v>
      </c>
      <c r="B20" s="4" t="s">
        <v>68</v>
      </c>
      <c r="C20" s="5">
        <v>1100204634</v>
      </c>
      <c r="D20" s="5">
        <v>0</v>
      </c>
      <c r="E20" s="5">
        <v>1100204634</v>
      </c>
      <c r="F20" s="5">
        <v>0</v>
      </c>
      <c r="G20" s="5">
        <v>1100204634</v>
      </c>
      <c r="H20" s="5">
        <v>0</v>
      </c>
      <c r="I20" s="5">
        <v>0</v>
      </c>
      <c r="J20" s="5">
        <v>0</v>
      </c>
    </row>
    <row r="21" spans="1:10">
      <c r="A21" s="4" t="s">
        <v>24</v>
      </c>
      <c r="B21" s="4" t="s">
        <v>69</v>
      </c>
      <c r="C21" s="5">
        <v>0</v>
      </c>
      <c r="D21" s="5">
        <v>13819945</v>
      </c>
      <c r="E21" s="5">
        <v>0</v>
      </c>
      <c r="F21" s="5">
        <v>13819945</v>
      </c>
      <c r="G21" s="5">
        <v>0</v>
      </c>
      <c r="H21" s="5">
        <v>13819945</v>
      </c>
      <c r="I21" s="5">
        <v>0</v>
      </c>
      <c r="J21" s="5">
        <v>0</v>
      </c>
    </row>
    <row r="22" spans="1:10">
      <c r="A22" s="4" t="s">
        <v>25</v>
      </c>
      <c r="B22" s="4" t="s">
        <v>70</v>
      </c>
      <c r="C22" s="5">
        <v>34623803</v>
      </c>
      <c r="D22" s="5">
        <v>19600000</v>
      </c>
      <c r="E22" s="5">
        <v>15023803</v>
      </c>
      <c r="F22" s="5">
        <v>0</v>
      </c>
      <c r="G22" s="5">
        <v>15023803</v>
      </c>
      <c r="H22" s="5">
        <v>0</v>
      </c>
      <c r="I22" s="5">
        <v>0</v>
      </c>
      <c r="J22" s="5">
        <v>0</v>
      </c>
    </row>
    <row r="23" spans="1:10">
      <c r="A23" s="4" t="s">
        <v>26</v>
      </c>
      <c r="B23" s="4" t="s">
        <v>71</v>
      </c>
      <c r="C23" s="5">
        <v>138605162</v>
      </c>
      <c r="D23" s="5">
        <v>0</v>
      </c>
      <c r="E23" s="5">
        <v>138605162</v>
      </c>
      <c r="F23" s="5">
        <v>0</v>
      </c>
      <c r="G23" s="5">
        <v>138605162</v>
      </c>
      <c r="H23" s="5">
        <v>0</v>
      </c>
      <c r="I23" s="5">
        <v>0</v>
      </c>
      <c r="J23" s="5">
        <v>0</v>
      </c>
    </row>
    <row r="24" spans="1:10">
      <c r="A24" s="4" t="s">
        <v>27</v>
      </c>
      <c r="B24" s="4" t="s">
        <v>72</v>
      </c>
      <c r="C24" s="5">
        <v>5574565</v>
      </c>
      <c r="D24" s="5">
        <v>28228702</v>
      </c>
      <c r="E24" s="5">
        <v>0</v>
      </c>
      <c r="F24" s="5">
        <v>22654137</v>
      </c>
      <c r="G24" s="5">
        <v>0</v>
      </c>
      <c r="H24" s="5">
        <v>22654137</v>
      </c>
      <c r="I24" s="5">
        <v>0</v>
      </c>
      <c r="J24" s="5">
        <v>0</v>
      </c>
    </row>
    <row r="25" spans="1:10">
      <c r="A25" s="4" t="s">
        <v>28</v>
      </c>
      <c r="B25" s="4" t="s">
        <v>73</v>
      </c>
      <c r="C25" s="5">
        <v>74550000</v>
      </c>
      <c r="D25" s="5">
        <v>20625000</v>
      </c>
      <c r="E25" s="5">
        <v>53925000</v>
      </c>
      <c r="F25" s="5">
        <v>0</v>
      </c>
      <c r="G25" s="5">
        <v>53925000</v>
      </c>
      <c r="H25" s="5">
        <v>0</v>
      </c>
      <c r="I25" s="5">
        <v>0</v>
      </c>
      <c r="J25" s="5">
        <v>0</v>
      </c>
    </row>
    <row r="26" spans="1:10">
      <c r="A26" s="4" t="s">
        <v>29</v>
      </c>
      <c r="B26" s="4" t="s">
        <v>74</v>
      </c>
      <c r="C26" s="5">
        <v>363983</v>
      </c>
      <c r="D26" s="5">
        <v>0</v>
      </c>
      <c r="E26" s="5">
        <v>363983</v>
      </c>
      <c r="F26" s="5">
        <v>0</v>
      </c>
      <c r="G26" s="5">
        <v>363983</v>
      </c>
      <c r="H26" s="5">
        <v>0</v>
      </c>
      <c r="I26" s="5">
        <v>0</v>
      </c>
      <c r="J26" s="5">
        <v>0</v>
      </c>
    </row>
    <row r="27" spans="1:10">
      <c r="A27" s="4" t="s">
        <v>30</v>
      </c>
      <c r="B27" s="4" t="s">
        <v>75</v>
      </c>
      <c r="C27" s="5">
        <v>2425598</v>
      </c>
      <c r="D27" s="5">
        <v>2425598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</row>
    <row r="28" spans="1:10">
      <c r="A28" s="4" t="s">
        <v>31</v>
      </c>
      <c r="B28" s="4" t="s">
        <v>76</v>
      </c>
      <c r="C28" s="5">
        <v>0</v>
      </c>
      <c r="D28" s="5">
        <v>136643406</v>
      </c>
      <c r="E28" s="5">
        <v>0</v>
      </c>
      <c r="F28" s="5">
        <v>136643406</v>
      </c>
      <c r="G28" s="5">
        <v>0</v>
      </c>
      <c r="H28" s="5">
        <v>136643406</v>
      </c>
      <c r="I28" s="5">
        <v>0</v>
      </c>
      <c r="J28" s="5">
        <v>0</v>
      </c>
    </row>
    <row r="29" spans="1:10">
      <c r="A29" s="4" t="s">
        <v>32</v>
      </c>
      <c r="B29" s="4" t="s">
        <v>77</v>
      </c>
      <c r="C29" s="5">
        <v>312209508</v>
      </c>
      <c r="D29" s="5">
        <v>312209508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</row>
    <row r="30" spans="1:10">
      <c r="A30" s="4" t="s">
        <v>33</v>
      </c>
      <c r="B30" s="4" t="s">
        <v>78</v>
      </c>
      <c r="C30" s="5">
        <v>437000</v>
      </c>
      <c r="D30" s="5">
        <v>22951011</v>
      </c>
      <c r="E30" s="5">
        <v>0</v>
      </c>
      <c r="F30" s="5">
        <v>22514011</v>
      </c>
      <c r="G30" s="5">
        <v>0</v>
      </c>
      <c r="H30" s="5">
        <v>22514011</v>
      </c>
      <c r="I30" s="5">
        <v>0</v>
      </c>
      <c r="J30" s="5">
        <v>0</v>
      </c>
    </row>
    <row r="31" spans="1:10">
      <c r="A31" s="4" t="s">
        <v>34</v>
      </c>
      <c r="B31" s="4" t="s">
        <v>79</v>
      </c>
      <c r="C31" s="5">
        <v>54406591</v>
      </c>
      <c r="D31" s="5">
        <v>1728657</v>
      </c>
      <c r="E31" s="5">
        <v>52677934</v>
      </c>
      <c r="F31" s="5">
        <v>0</v>
      </c>
      <c r="G31" s="5">
        <v>52677934</v>
      </c>
      <c r="H31" s="5">
        <v>0</v>
      </c>
      <c r="I31" s="5">
        <v>0</v>
      </c>
      <c r="J31" s="5">
        <v>0</v>
      </c>
    </row>
    <row r="32" spans="1:10">
      <c r="A32" s="4" t="s">
        <v>35</v>
      </c>
      <c r="B32" s="4" t="s">
        <v>80</v>
      </c>
      <c r="C32" s="5">
        <v>0</v>
      </c>
      <c r="D32" s="5">
        <v>303267250</v>
      </c>
      <c r="E32" s="5">
        <v>0</v>
      </c>
      <c r="F32" s="5">
        <v>303267250</v>
      </c>
      <c r="G32" s="5">
        <v>0</v>
      </c>
      <c r="H32" s="5">
        <v>303267250</v>
      </c>
      <c r="I32" s="5">
        <v>0</v>
      </c>
      <c r="J32" s="5">
        <v>0</v>
      </c>
    </row>
    <row r="33" spans="1:10">
      <c r="A33" s="4" t="s">
        <v>36</v>
      </c>
      <c r="B33" s="4" t="s">
        <v>81</v>
      </c>
      <c r="C33" s="5">
        <v>0</v>
      </c>
      <c r="D33" s="5">
        <v>543338107</v>
      </c>
      <c r="E33" s="5">
        <v>0</v>
      </c>
      <c r="F33" s="5">
        <v>543338107</v>
      </c>
      <c r="G33" s="5">
        <v>0</v>
      </c>
      <c r="H33" s="5">
        <v>543338107</v>
      </c>
      <c r="I33" s="5">
        <v>0</v>
      </c>
      <c r="J33" s="5">
        <v>0</v>
      </c>
    </row>
    <row r="34" spans="1:10">
      <c r="A34" s="4" t="s">
        <v>37</v>
      </c>
      <c r="B34" s="4" t="s">
        <v>82</v>
      </c>
      <c r="C34" s="5">
        <v>0</v>
      </c>
      <c r="D34" s="5">
        <v>1000000</v>
      </c>
      <c r="E34" s="5">
        <v>0</v>
      </c>
      <c r="F34" s="5">
        <v>1000000</v>
      </c>
      <c r="G34" s="5">
        <v>0</v>
      </c>
      <c r="H34" s="5">
        <v>1000000</v>
      </c>
      <c r="I34" s="5">
        <v>0</v>
      </c>
      <c r="J34" s="5">
        <v>0</v>
      </c>
    </row>
    <row r="35" spans="1:10">
      <c r="A35" s="4" t="s">
        <v>38</v>
      </c>
      <c r="B35" s="4" t="s">
        <v>83</v>
      </c>
      <c r="C35" s="5">
        <v>0</v>
      </c>
      <c r="D35" s="5">
        <v>28000</v>
      </c>
      <c r="E35" s="5">
        <v>0</v>
      </c>
      <c r="F35" s="5">
        <v>28000</v>
      </c>
      <c r="G35" s="5">
        <v>0</v>
      </c>
      <c r="H35" s="5">
        <v>28000</v>
      </c>
      <c r="I35" s="5">
        <v>0</v>
      </c>
      <c r="J35" s="5">
        <v>0</v>
      </c>
    </row>
    <row r="36" spans="1:10">
      <c r="A36" s="4" t="s">
        <v>39</v>
      </c>
      <c r="B36" s="4" t="s">
        <v>84</v>
      </c>
      <c r="C36" s="5">
        <v>56932575</v>
      </c>
      <c r="D36" s="5">
        <v>278778451</v>
      </c>
      <c r="E36" s="5">
        <v>0</v>
      </c>
      <c r="F36" s="5">
        <v>221845876</v>
      </c>
      <c r="G36" s="5">
        <v>0</v>
      </c>
      <c r="H36" s="5">
        <v>221845876</v>
      </c>
      <c r="I36" s="5">
        <v>0</v>
      </c>
      <c r="J36" s="5">
        <v>0</v>
      </c>
    </row>
    <row r="37" spans="1:10">
      <c r="A37" s="4" t="s">
        <v>40</v>
      </c>
      <c r="B37" s="4" t="s">
        <v>85</v>
      </c>
      <c r="C37" s="5">
        <v>56932575</v>
      </c>
      <c r="D37" s="5">
        <v>56932575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</row>
    <row r="38" spans="1:10">
      <c r="A38" s="4" t="s">
        <v>41</v>
      </c>
      <c r="B38" s="4" t="s">
        <v>86</v>
      </c>
      <c r="C38" s="5">
        <v>4000000</v>
      </c>
      <c r="D38" s="5">
        <v>0</v>
      </c>
      <c r="E38" s="5">
        <v>4000000</v>
      </c>
      <c r="F38" s="5">
        <v>0</v>
      </c>
      <c r="G38" s="5">
        <v>4000000</v>
      </c>
      <c r="H38" s="5">
        <v>0</v>
      </c>
      <c r="I38" s="5">
        <v>0</v>
      </c>
      <c r="J38" s="5">
        <v>0</v>
      </c>
    </row>
    <row r="39" spans="1:10">
      <c r="A39" s="4" t="s">
        <v>42</v>
      </c>
      <c r="B39" s="4" t="s">
        <v>87</v>
      </c>
      <c r="C39" s="5">
        <v>2300000</v>
      </c>
      <c r="D39" s="5">
        <v>120794789</v>
      </c>
      <c r="E39" s="5">
        <v>0</v>
      </c>
      <c r="F39" s="5">
        <v>118494789</v>
      </c>
      <c r="G39" s="5">
        <v>0</v>
      </c>
      <c r="H39" s="5">
        <v>0</v>
      </c>
      <c r="I39" s="5">
        <v>0</v>
      </c>
      <c r="J39" s="5">
        <v>118494789</v>
      </c>
    </row>
    <row r="40" spans="1:10">
      <c r="A40" s="4" t="s">
        <v>43</v>
      </c>
      <c r="B40" s="4" t="s">
        <v>88</v>
      </c>
      <c r="C40" s="5">
        <v>1</v>
      </c>
      <c r="D40" s="5">
        <v>1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</row>
    <row r="41" spans="1:10">
      <c r="A41" s="4" t="s">
        <v>44</v>
      </c>
      <c r="B41" s="4" t="s">
        <v>89</v>
      </c>
      <c r="C41" s="5">
        <v>0</v>
      </c>
      <c r="D41" s="5">
        <v>1468855</v>
      </c>
      <c r="E41" s="5">
        <v>0</v>
      </c>
      <c r="F41" s="5">
        <v>1468855</v>
      </c>
      <c r="G41" s="5">
        <v>0</v>
      </c>
      <c r="H41" s="5">
        <v>0</v>
      </c>
      <c r="I41" s="5">
        <v>0</v>
      </c>
      <c r="J41" s="5">
        <v>1468855</v>
      </c>
    </row>
    <row r="42" spans="1:10">
      <c r="A42" s="4" t="s">
        <v>45</v>
      </c>
      <c r="B42" s="4" t="s">
        <v>90</v>
      </c>
      <c r="C42" s="5">
        <v>2958889</v>
      </c>
      <c r="D42" s="5">
        <v>0</v>
      </c>
      <c r="E42" s="5">
        <v>2958889</v>
      </c>
      <c r="F42" s="5">
        <v>0</v>
      </c>
      <c r="G42" s="5">
        <v>0</v>
      </c>
      <c r="H42" s="5">
        <v>0</v>
      </c>
      <c r="I42" s="5">
        <v>2958889</v>
      </c>
      <c r="J42" s="5">
        <v>0</v>
      </c>
    </row>
    <row r="43" spans="1:10">
      <c r="A43" s="4" t="s">
        <v>46</v>
      </c>
      <c r="B43" s="4" t="s">
        <v>91</v>
      </c>
      <c r="C43" s="5">
        <v>625000</v>
      </c>
      <c r="D43" s="5">
        <v>0</v>
      </c>
      <c r="E43" s="5">
        <v>625000</v>
      </c>
      <c r="F43" s="5">
        <v>0</v>
      </c>
      <c r="G43" s="5">
        <v>0</v>
      </c>
      <c r="H43" s="5">
        <v>0</v>
      </c>
      <c r="I43" s="5">
        <v>625000</v>
      </c>
      <c r="J43" s="5">
        <v>0</v>
      </c>
    </row>
    <row r="44" spans="1:10">
      <c r="A44" s="4" t="s">
        <v>47</v>
      </c>
      <c r="B44" s="4" t="s">
        <v>92</v>
      </c>
      <c r="C44" s="5">
        <v>40451</v>
      </c>
      <c r="D44" s="5">
        <v>0</v>
      </c>
      <c r="E44" s="5">
        <v>40451</v>
      </c>
      <c r="F44" s="5">
        <v>0</v>
      </c>
      <c r="G44" s="5">
        <v>0</v>
      </c>
      <c r="H44" s="5">
        <v>0</v>
      </c>
      <c r="I44" s="5">
        <v>40451</v>
      </c>
      <c r="J44" s="5">
        <v>0</v>
      </c>
    </row>
    <row r="45" spans="1:10">
      <c r="A45" s="4" t="s">
        <v>48</v>
      </c>
      <c r="B45" s="4" t="s">
        <v>93</v>
      </c>
      <c r="C45" s="5">
        <v>49339</v>
      </c>
      <c r="D45" s="5">
        <v>0</v>
      </c>
      <c r="E45" s="5">
        <v>49339</v>
      </c>
      <c r="F45" s="5">
        <v>0</v>
      </c>
      <c r="G45" s="5">
        <v>0</v>
      </c>
      <c r="H45" s="5">
        <v>0</v>
      </c>
      <c r="I45" s="5">
        <v>49339</v>
      </c>
      <c r="J45" s="5">
        <v>0</v>
      </c>
    </row>
    <row r="46" spans="1:10">
      <c r="A46" s="4" t="s">
        <v>49</v>
      </c>
      <c r="B46" s="4" t="s">
        <v>94</v>
      </c>
      <c r="C46" s="5">
        <v>8186747</v>
      </c>
      <c r="D46" s="5">
        <v>284489</v>
      </c>
      <c r="E46" s="5">
        <v>7902258</v>
      </c>
      <c r="F46" s="5">
        <v>0</v>
      </c>
      <c r="G46" s="5">
        <v>0</v>
      </c>
      <c r="H46" s="5">
        <v>0</v>
      </c>
      <c r="I46" s="5">
        <v>7902258</v>
      </c>
      <c r="J46" s="5">
        <v>0</v>
      </c>
    </row>
    <row r="47" spans="1:10">
      <c r="A47" s="4" t="s">
        <v>50</v>
      </c>
      <c r="B47" s="4" t="s">
        <v>95</v>
      </c>
      <c r="C47" s="5">
        <v>2750000</v>
      </c>
      <c r="D47" s="5">
        <v>0</v>
      </c>
      <c r="E47" s="5">
        <v>2750000</v>
      </c>
      <c r="F47" s="5">
        <v>0</v>
      </c>
      <c r="G47" s="5">
        <v>0</v>
      </c>
      <c r="H47" s="5">
        <v>0</v>
      </c>
      <c r="I47" s="5">
        <v>2750000</v>
      </c>
      <c r="J47" s="5">
        <v>0</v>
      </c>
    </row>
    <row r="48" spans="1:10">
      <c r="A48" s="4" t="s">
        <v>51</v>
      </c>
      <c r="B48" s="4" t="s">
        <v>96</v>
      </c>
      <c r="C48" s="5">
        <v>29403</v>
      </c>
      <c r="D48" s="5">
        <v>19319</v>
      </c>
      <c r="E48" s="5">
        <v>10084</v>
      </c>
      <c r="F48" s="5">
        <v>0</v>
      </c>
      <c r="G48" s="5">
        <v>0</v>
      </c>
      <c r="H48" s="5">
        <v>0</v>
      </c>
      <c r="I48" s="5">
        <v>10084</v>
      </c>
      <c r="J48" s="5">
        <v>0</v>
      </c>
    </row>
    <row r="49" spans="1:10">
      <c r="A49" s="4" t="s">
        <v>52</v>
      </c>
      <c r="B49" s="4" t="s">
        <v>97</v>
      </c>
      <c r="C49" s="5">
        <v>13286</v>
      </c>
      <c r="D49" s="5">
        <v>0</v>
      </c>
      <c r="E49" s="5">
        <v>13286</v>
      </c>
      <c r="F49" s="5">
        <v>0</v>
      </c>
      <c r="G49" s="5">
        <v>0</v>
      </c>
      <c r="H49" s="5">
        <v>0</v>
      </c>
      <c r="I49" s="5">
        <v>13286</v>
      </c>
      <c r="J49" s="5">
        <v>0</v>
      </c>
    </row>
    <row r="50" spans="1:10">
      <c r="A50" s="4" t="s">
        <v>53</v>
      </c>
      <c r="B50" s="4" t="s">
        <v>98</v>
      </c>
      <c r="C50" s="5">
        <v>0</v>
      </c>
      <c r="D50" s="5">
        <v>93765</v>
      </c>
      <c r="E50" s="5">
        <v>0</v>
      </c>
      <c r="F50" s="5">
        <v>93765</v>
      </c>
      <c r="G50" s="5">
        <v>0</v>
      </c>
      <c r="H50" s="5">
        <v>0</v>
      </c>
      <c r="I50" s="5">
        <v>0</v>
      </c>
      <c r="J50" s="5">
        <v>93765</v>
      </c>
    </row>
    <row r="51" spans="1:10">
      <c r="A51" s="4" t="s">
        <v>54</v>
      </c>
      <c r="B51" s="4" t="s">
        <v>99</v>
      </c>
      <c r="C51" s="5">
        <v>34324</v>
      </c>
      <c r="D51" s="5">
        <v>0</v>
      </c>
      <c r="E51" s="5">
        <v>34324</v>
      </c>
      <c r="F51" s="5">
        <v>0</v>
      </c>
      <c r="G51" s="5">
        <v>0</v>
      </c>
      <c r="H51" s="5">
        <v>0</v>
      </c>
      <c r="I51" s="5">
        <v>34324</v>
      </c>
      <c r="J51" s="5">
        <v>0</v>
      </c>
    </row>
    <row r="52" spans="1:10">
      <c r="A52" s="6" t="s">
        <v>115</v>
      </c>
      <c r="B52" s="6"/>
      <c r="C52" s="6">
        <f>SUM(C7:C51)</f>
        <v>0</v>
      </c>
      <c r="D52" s="6">
        <f>SUM(D7:D51)</f>
        <v>0</v>
      </c>
      <c r="E52" s="6">
        <f>SUM(E7:E51)</f>
        <v>0</v>
      </c>
      <c r="F52" s="6">
        <f>SUM(F7:F51)</f>
        <v>0</v>
      </c>
      <c r="G52" s="6">
        <f>SUM(G7:G51)</f>
        <v>0</v>
      </c>
      <c r="H52" s="6">
        <f>SUM(H7:H51)</f>
        <v>0</v>
      </c>
      <c r="I52" s="6">
        <f>SUM(I7:I51)</f>
        <v>0</v>
      </c>
      <c r="J52" s="6">
        <f>SUM(J7:J51)</f>
        <v>0</v>
      </c>
    </row>
    <row r="53" spans="1:10">
      <c r="A53" s="6" t="s">
        <v>116</v>
      </c>
      <c r="B53" s="6"/>
      <c r="C53" s="6"/>
      <c r="D53" s="6"/>
      <c r="E53" s="6"/>
      <c r="F53" s="6"/>
      <c r="G53" s="6">
        <f>IF(G52&lt;H52, H52-G52, "")</f>
        <v>0</v>
      </c>
      <c r="H53" s="6">
        <f>IF(H52&lt;G52, G52-H52, "")</f>
        <v>0</v>
      </c>
      <c r="I53" s="6">
        <f>IF(I52&lt;J52, J52-I52, "")</f>
        <v>0</v>
      </c>
      <c r="J53" s="6">
        <f>IF(J52&lt;I52, I52-J52, "")</f>
        <v>0</v>
      </c>
    </row>
    <row r="54" spans="1:10">
      <c r="A54" s="6" t="s">
        <v>117</v>
      </c>
      <c r="B54" s="6"/>
      <c r="C54" s="6">
        <f>C52</f>
        <v>0</v>
      </c>
      <c r="D54" s="6">
        <f>D52</f>
        <v>0</v>
      </c>
      <c r="E54" s="6">
        <f>SUM(E52, E53)</f>
        <v>0</v>
      </c>
      <c r="F54" s="6">
        <f>SUM(F52, F53)</f>
        <v>0</v>
      </c>
      <c r="G54" s="6">
        <f>SUM(G52, G53)</f>
        <v>0</v>
      </c>
      <c r="H54" s="6">
        <f>SUM(H52, H53)</f>
        <v>0</v>
      </c>
      <c r="I54" s="6">
        <f>SUM(I52, I53)</f>
        <v>0</v>
      </c>
      <c r="J54" s="6">
        <f>SUM(J52, J53)</f>
        <v>0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2026-03-10T17:31:39Z</dcterms:created>
  <dcterms:modified xsi:type="dcterms:W3CDTF">2026-03-10T17:31:39Z</dcterms:modified>
</cp:coreProperties>
</file>